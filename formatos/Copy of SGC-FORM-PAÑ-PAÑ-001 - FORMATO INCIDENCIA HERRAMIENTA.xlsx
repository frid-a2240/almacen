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a.arroyo\Documents\Documentos sofia y QDOC\"/>
    </mc:Choice>
  </mc:AlternateContent>
  <xr:revisionPtr revIDLastSave="0" documentId="8_{4C5EDAA7-F7C1-40CB-967B-D2E5CD1142A4}" xr6:coauthVersionLast="47" xr6:coauthVersionMax="47" xr10:uidLastSave="{00000000-0000-0000-0000-000000000000}"/>
  <bookViews>
    <workbookView xWindow="-28920" yWindow="2925" windowWidth="29040" windowHeight="15720" firstSheet="1" activeTab="1" xr2:uid="{19695D97-F26F-42EB-BCA3-AFFB07E6A61E}"/>
  </bookViews>
  <sheets>
    <sheet name="BASE" sheetId="3" state="hidden" r:id="rId1"/>
    <sheet name="BASE PROT" sheetId="9" r:id="rId2"/>
    <sheet name="EMPLEADOS" sheetId="8" state="hidden" r:id="rId3"/>
    <sheet name="BASE 1V" sheetId="5" state="hidden" r:id="rId4"/>
    <sheet name="BORRADOR 1" sheetId="4" state="hidden" r:id="rId5"/>
  </sheets>
  <externalReferences>
    <externalReference r:id="rId6"/>
    <externalReference r:id="rId7"/>
  </externalReferences>
  <definedNames>
    <definedName name="_xlnm._FilterDatabase" localSheetId="0" hidden="1">BASE!$C$7:$H$11</definedName>
    <definedName name="_xlnm._FilterDatabase" localSheetId="1" hidden="1">'BASE PROT'!$C$6:$H$10</definedName>
    <definedName name="_xlnm._FilterDatabase" localSheetId="2" hidden="1">EMPLEADOS!$A$3:$G$247</definedName>
    <definedName name="ALMACENES">[1]!Tabla8[ALMACENES]</definedName>
    <definedName name="_xlnm.Print_Area" localSheetId="3">'BASE 1V'!$A$1:$H$32</definedName>
    <definedName name="_xlnm.Print_Area" localSheetId="1">'BASE PROT'!$A$1:$H$52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8" l="1" a="1"/>
  <c r="I4" i="8" s="1"/>
  <c r="T4" i="8" a="1"/>
  <c r="T4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<sst xmlns="http://schemas.openxmlformats.org/spreadsheetml/2006/main" count="1826" uniqueCount="654">
  <si>
    <t>PROYECTO :</t>
  </si>
  <si>
    <t>NOMBRE DE USUARIO :</t>
  </si>
  <si>
    <t>CENTRO DE COSTOS :</t>
  </si>
  <si>
    <t>NOMBRE DE SUPERVISOR :</t>
  </si>
  <si>
    <t>CODIGO</t>
  </si>
  <si>
    <t>DESCRIPCION</t>
  </si>
  <si>
    <t>SOLICITUD / VALE DE SALIDA ALMACEN
CONSUMIBLES</t>
  </si>
  <si>
    <t>CANTIDAD ENTREGADA</t>
  </si>
  <si>
    <t>CANTIDAD SOLICITADA</t>
  </si>
  <si>
    <t>FECHA :</t>
  </si>
  <si>
    <t>FOLIO :</t>
  </si>
  <si>
    <t>UDM</t>
  </si>
  <si>
    <t>DEPARTAMENTO :</t>
  </si>
  <si>
    <t>TIPO MANTENIMIENTO :</t>
  </si>
  <si>
    <t>GASTOS INDIRECTOS :</t>
  </si>
  <si>
    <t>MTTO MAQUINARIA/EQUIPO:</t>
  </si>
  <si>
    <t>SOLDADURA</t>
  </si>
  <si>
    <t>PINTURA</t>
  </si>
  <si>
    <t>CORTADOR</t>
  </si>
  <si>
    <t>BASCULA</t>
  </si>
  <si>
    <t>PANTOGRAFO</t>
  </si>
  <si>
    <t>MANIOBRAS</t>
  </si>
  <si>
    <t>NOMBRE  SUPERVISOR :</t>
  </si>
  <si>
    <t>CLAVE</t>
  </si>
  <si>
    <t>Nombre</t>
  </si>
  <si>
    <t>PUESTO_DESCRIPCION</t>
  </si>
  <si>
    <t>DEPTO_DESCRIPCION</t>
  </si>
  <si>
    <t>COSTO_DESCRIPCION</t>
  </si>
  <si>
    <t>Supervisor</t>
  </si>
  <si>
    <t>FEC_INGRESO</t>
  </si>
  <si>
    <t>GABRIEL QUEVEDO ROCHIN</t>
  </si>
  <si>
    <t>DESGUACE</t>
  </si>
  <si>
    <t>DIRECTO</t>
  </si>
  <si>
    <t>ALEJANDRO SALAS CALVO</t>
  </si>
  <si>
    <t>QUEVEDO ROCHIN GABRIEL</t>
  </si>
  <si>
    <t>ROBERTO VEGA LOPEZ</t>
  </si>
  <si>
    <t>ELECTRICISTA A</t>
  </si>
  <si>
    <t>MANTENIMIENTO</t>
  </si>
  <si>
    <t>INDIRECTO</t>
  </si>
  <si>
    <t>FRANCISCO GUIRADO</t>
  </si>
  <si>
    <t>VEGA LOPEZ ROBERTO</t>
  </si>
  <si>
    <t>JUAN PABLO DOMINGUEZ GARCIA</t>
  </si>
  <si>
    <t>OPERADOR GRUA A</t>
  </si>
  <si>
    <t>INDIRECTO OPERATIVO</t>
  </si>
  <si>
    <t>ARTEAGA CRUZ ELEAZAR</t>
  </si>
  <si>
    <t>DOMINGUEZ GARCIA JUAN PABLO</t>
  </si>
  <si>
    <t>JORGE OCTAVIO RASCON MENCHACA</t>
  </si>
  <si>
    <t>SOLDADOR CERTIFICADO A</t>
  </si>
  <si>
    <t>BARTOLO MAYORGAN/ERNESTO GONZA</t>
  </si>
  <si>
    <t>RASCON MENCHACA JORGE OCTAVIO</t>
  </si>
  <si>
    <t>JOSE JAIME VALLEJO ISORDIA</t>
  </si>
  <si>
    <t>CABO A</t>
  </si>
  <si>
    <t>JOSE JAIME VALLEJO</t>
  </si>
  <si>
    <t>ELISEO AREVALO ESPINOZA</t>
  </si>
  <si>
    <t>ACEROS</t>
  </si>
  <si>
    <t>ELISEO AREVALO/ERNESTO GONZALE</t>
  </si>
  <si>
    <t>AREVALO ESPINOZA ELISEO</t>
  </si>
  <si>
    <t>EDUARDO PACHECO HERNANDEZ</t>
  </si>
  <si>
    <t>PACHECO HERNANDEZ EDUARDO</t>
  </si>
  <si>
    <t>ELEAZAR ARTEAGA CRUZ</t>
  </si>
  <si>
    <t>SUPERVISOR EN DIQUE</t>
  </si>
  <si>
    <t>TOMAS MENDEZ USCANGA</t>
  </si>
  <si>
    <t>JUAN ALBERTO ALVAREZ ESTRELLA</t>
  </si>
  <si>
    <t>ALVAREZ ESTRELLA JUAN ALBERTO</t>
  </si>
  <si>
    <t>BARTOLO MAYORGAN BRAVO</t>
  </si>
  <si>
    <t>MAYORGAN BRAVO BARTOLO</t>
  </si>
  <si>
    <t>BARTOLO CHAVEZ MORENO</t>
  </si>
  <si>
    <t>OPERADOR ESPECIALIZADO</t>
  </si>
  <si>
    <t>CHAVEZ MORENO BARTOLO</t>
  </si>
  <si>
    <t>SERGIO OCHOA SANCHEZ</t>
  </si>
  <si>
    <t>OPERADOR OLLA SANBLAST</t>
  </si>
  <si>
    <t>LUIS DAVID CHAVEZ BRITO</t>
  </si>
  <si>
    <t>OCHOA SANCHEZ SERGIO</t>
  </si>
  <si>
    <t>EDUARDO ITURBE ALONSO</t>
  </si>
  <si>
    <t>SOLDADOR DE MANTENIMIENTO</t>
  </si>
  <si>
    <t>ITURBE ALONSO EDUARDO</t>
  </si>
  <si>
    <t>GUSTAVO PEÑA HERNANDEZ</t>
  </si>
  <si>
    <t>ALMACENISTA</t>
  </si>
  <si>
    <t>ALMACEN</t>
  </si>
  <si>
    <t>EDER GONZALEZ RUBIO</t>
  </si>
  <si>
    <t>PEÑA HERNANDEZ GUSTAVO</t>
  </si>
  <si>
    <t>CARLOS VALDES PEDRAZA</t>
  </si>
  <si>
    <t>VALDES PEDRAZA CARLOS</t>
  </si>
  <si>
    <t>RAMAJATH RAMIREZ REMBAO</t>
  </si>
  <si>
    <t>RAMIREZ REMBAO RAMAJATH</t>
  </si>
  <si>
    <t>ARMANDO FLORES GAYTAN</t>
  </si>
  <si>
    <t>MECANICO NAVAL B</t>
  </si>
  <si>
    <t>MECANICA NAVAL</t>
  </si>
  <si>
    <t>EDUARDO HERNANDEZ</t>
  </si>
  <si>
    <t>GAYTAN, ARMANDO FLORES</t>
  </si>
  <si>
    <t>EDUARDO MEZA CEDENO</t>
  </si>
  <si>
    <t>CABO B</t>
  </si>
  <si>
    <t>EDUARDO MEZA/ERNESTO GONZALEZ</t>
  </si>
  <si>
    <t>MEZA CEDENO EDUARDO</t>
  </si>
  <si>
    <t>MAURICIO DE LA CRUZ MARTINEZ</t>
  </si>
  <si>
    <t>CABO SANDBLAST/PINTURA</t>
  </si>
  <si>
    <t>DE LA CRUZ MARTINEZ MAURICIO</t>
  </si>
  <si>
    <t>BARTOLO MAYORGAN GARCIA</t>
  </si>
  <si>
    <t>MAYORGAN GARCIA BARTOLO</t>
  </si>
  <si>
    <t>JOSE MONTOYA LOPEZ</t>
  </si>
  <si>
    <t>JEFE DE GRUPO DE PINTURA</t>
  </si>
  <si>
    <t>MONTOYA LOPEZ JOSE</t>
  </si>
  <si>
    <t>CARLOS HUMBERTO AGUILAR ALFARO</t>
  </si>
  <si>
    <t>OP SANDBLAS / PINTURA A</t>
  </si>
  <si>
    <t>AGUILAR ALFARO CARLOS HUMBERTO</t>
  </si>
  <si>
    <t>SERGIO NARANJO RUIZ</t>
  </si>
  <si>
    <t>OPERADOR DE EXCAVADORA</t>
  </si>
  <si>
    <t>NARANJO RUIZ SERGIO</t>
  </si>
  <si>
    <t>EDGAR MANUEL ACOSTA AVILES</t>
  </si>
  <si>
    <t>CARGADOR FRONTAL</t>
  </si>
  <si>
    <t>EDGAR MANUEL ACOSTA</t>
  </si>
  <si>
    <t>RAUL AVILA AYALA</t>
  </si>
  <si>
    <t>AVILA AYALA RAUL</t>
  </si>
  <si>
    <t>ERNESTO GONZALEZ MORALES</t>
  </si>
  <si>
    <t>SUPERINTENDENTE DE PRODUC</t>
  </si>
  <si>
    <t>PRODUCCION</t>
  </si>
  <si>
    <t>GONZALEZ MORALES ERNESTO</t>
  </si>
  <si>
    <t>ISRAEL DIAZ RODRIGUEZ</t>
  </si>
  <si>
    <t>MECANICO A</t>
  </si>
  <si>
    <t>DIAZ RODRIGUEZ ISRAEL</t>
  </si>
  <si>
    <t>OCTAVIO ROBLES SARABIA</t>
  </si>
  <si>
    <t>SOLDADOR CERTIFICADO B</t>
  </si>
  <si>
    <t>ROBLES SARABIA OCTAVIO</t>
  </si>
  <si>
    <t>JUAN CARLOS TAMAYO NAJERA</t>
  </si>
  <si>
    <t>SUP. SEGURIDAD E HIGIENE</t>
  </si>
  <si>
    <t>SEGURIDAD E HIGIENE</t>
  </si>
  <si>
    <t>BEATRIZ ANGELICA TAPIZ CONTRER</t>
  </si>
  <si>
    <t>JUAN CARLOS TAMAYO</t>
  </si>
  <si>
    <t>JUAN CARLOS LAPIZCO NUÑEZ</t>
  </si>
  <si>
    <t>SUPERVISOR DE PRODUCCION</t>
  </si>
  <si>
    <t>LAPIZCO NUÑEZ JUAN CARLOS</t>
  </si>
  <si>
    <t>ISAAC GUADALUPE CRUZ SILVA</t>
  </si>
  <si>
    <t>AYUDANTE GENERAL</t>
  </si>
  <si>
    <t>CRUZ SILVA ISAAC GUADALUPE</t>
  </si>
  <si>
    <t>HOMERO GUEVARA YAÑEZ</t>
  </si>
  <si>
    <t>GUEVARA YAÑEZ HOMERO</t>
  </si>
  <si>
    <t>JUAN CARLOS CARRANZA BRISEÑO</t>
  </si>
  <si>
    <t>AYUDANTE DE SOLDADOR</t>
  </si>
  <si>
    <t>CARRANZA BRISEÑO JUAN CARLOS</t>
  </si>
  <si>
    <t>RICARDO NAVARRO CASTAÑEDA</t>
  </si>
  <si>
    <t>MECANICO B</t>
  </si>
  <si>
    <t>NAVARRO CASTAÑEDA RICARDO</t>
  </si>
  <si>
    <t>MARTIN SALINAS GONZALEZ</t>
  </si>
  <si>
    <t>SALINAS GONZALEZ MARTIN</t>
  </si>
  <si>
    <t>LUIS RAMON DE HOYOS TORRES</t>
  </si>
  <si>
    <t>OPERADOR GRUA B</t>
  </si>
  <si>
    <t>JESUS NARVAEZ</t>
  </si>
  <si>
    <t>DE HOYOS TORRES LUIS RAMON</t>
  </si>
  <si>
    <t>GIBRAN AGUSTIN SERVIN SUAREZ</t>
  </si>
  <si>
    <t>TECNICO DE SEGURIDAD E HI</t>
  </si>
  <si>
    <t>GIBRAN AGUSTIN SERVIN</t>
  </si>
  <si>
    <t>ANGEL GABRIEL CENTENO SALDIVAR</t>
  </si>
  <si>
    <t>SOROVABEL RUIZ LOPEZ</t>
  </si>
  <si>
    <t>CENTENO SALDIVAR ANGEL GABRIEL</t>
  </si>
  <si>
    <t>JESUS ENRIQUE CAÑEZ RAMIREZ</t>
  </si>
  <si>
    <t>CAÑEZ RAMIREZ JESUS ENRIQUE</t>
  </si>
  <si>
    <t>MIGUEL ANGEL MORALES DOMINGUEZ</t>
  </si>
  <si>
    <t>LAUREANO AMBROSIO/ ERNESTO GON</t>
  </si>
  <si>
    <t>MORALES DOMINGUEZ MIGUEL ANGEL</t>
  </si>
  <si>
    <t>JUAN ANTONIO CETINA RODRIGUEZ</t>
  </si>
  <si>
    <t>GUARDIA DE SEGURIDAD</t>
  </si>
  <si>
    <t>SEGURIDAD PATRIMONIAL</t>
  </si>
  <si>
    <t>CARLOS CUE</t>
  </si>
  <si>
    <t>JUAN ANTONIO CETINA</t>
  </si>
  <si>
    <t>ERASTO SANTANA ARCIGA</t>
  </si>
  <si>
    <t>MECANICO NAVAL A</t>
  </si>
  <si>
    <t>ARCIGA, ERASTO SANTANA</t>
  </si>
  <si>
    <t>KEVIN ALEJANDRO SOLIS LARIOS</t>
  </si>
  <si>
    <t>SOLDADOR</t>
  </si>
  <si>
    <t>SOLIS LARIOS KEVIN ALEJANDRO</t>
  </si>
  <si>
    <t>GUILLERMO CISNEROS RODRIGUEZ</t>
  </si>
  <si>
    <t>CISNEROS RODRIGUEZ GUILLERMO</t>
  </si>
  <si>
    <t>MARCELO TOTO SEBA</t>
  </si>
  <si>
    <t>TOTO SEBA MARCELO</t>
  </si>
  <si>
    <t>VICTOR MANUEL AGUILAR RODRIGUEZ</t>
  </si>
  <si>
    <t>AGUILAR RODRIGUEZ VICTOR MANUEL</t>
  </si>
  <si>
    <t>FERNANDO RAMIREZ NOLASCO</t>
  </si>
  <si>
    <t>MANIOBRISTA B</t>
  </si>
  <si>
    <t>RAMIREZ NOLASCO FERNANDO</t>
  </si>
  <si>
    <t>ALFREDO DIAZ ANTE</t>
  </si>
  <si>
    <t>ANTE, ALFREDO DIAZ</t>
  </si>
  <si>
    <t>JUAN CARLOS CAMEZ RAMIREZ</t>
  </si>
  <si>
    <t>OFICIAL BOMBAS</t>
  </si>
  <si>
    <t>CAMEZ RAMIREZ JUAN CARLOS</t>
  </si>
  <si>
    <t>FRANCISCO MARTINEZ CRISANTOS</t>
  </si>
  <si>
    <t>AYUDANTE A</t>
  </si>
  <si>
    <t>CRISANTOS, FRANCISCO MARTINEZ</t>
  </si>
  <si>
    <t>CAMERINO VASQUEZ APARICIO</t>
  </si>
  <si>
    <t>VASQUEZ APARICIO CAMERINO</t>
  </si>
  <si>
    <t>OSCAR DAVALOS VALENCIA</t>
  </si>
  <si>
    <t>OP SANDBLAS / PINTURA C</t>
  </si>
  <si>
    <t>DAVALOS VALENCIA OSCAR</t>
  </si>
  <si>
    <t>MELISSA HERNANDEZ MEAVE</t>
  </si>
  <si>
    <t>AUXILIAR CONTABLE</t>
  </si>
  <si>
    <t>CONTABILIDAD</t>
  </si>
  <si>
    <t>AMERICA GARCIA ARCE</t>
  </si>
  <si>
    <t>HERNANDEZ MEAVE MELISSA</t>
  </si>
  <si>
    <t>BLANCA ARMIDA LOPEZ CORRAL</t>
  </si>
  <si>
    <t>LIMPIEZA DE OFICINAS</t>
  </si>
  <si>
    <t>BLANCA ARMIDA LOPEZ</t>
  </si>
  <si>
    <t>RAFAEL ANGEL HERNANDEZ VALENZUELA</t>
  </si>
  <si>
    <t>HERNANDEZ VALENZUELA RAFAEL ANGEL</t>
  </si>
  <si>
    <t>MARTIN SOLIS FERREL</t>
  </si>
  <si>
    <t>SOLIS FERREL MARTIN</t>
  </si>
  <si>
    <t>JESUS DAVID ASTORGA URIBE</t>
  </si>
  <si>
    <t>ASTORGA URIBE JESUS DAVID</t>
  </si>
  <si>
    <t>HECTOR LEON SEPULVEDA</t>
  </si>
  <si>
    <t>LEON SEPULVEDA HECTOR</t>
  </si>
  <si>
    <t>JULIO CESAR LOPEZ JIMENEZ</t>
  </si>
  <si>
    <t>LOPEZ JIMENEZ JULIO CESAR</t>
  </si>
  <si>
    <t>JOSE ANTONIO ARCE GONZALEZ</t>
  </si>
  <si>
    <t>ARCE GONZALEZ JOSE ANTONIO</t>
  </si>
  <si>
    <t>JORGE ALBERTO VILLARREAL ROMO</t>
  </si>
  <si>
    <t>VILLARREAL ROMO JORGE ALBERTO</t>
  </si>
  <si>
    <t>MIGUEL ANGEL MADRIGAL FLORES</t>
  </si>
  <si>
    <t>MADRIGAL FLORES MIGUEL ANGEL</t>
  </si>
  <si>
    <t>RAMON ARTURO CARRILLO CORRAL</t>
  </si>
  <si>
    <t>CARRILLO CORRAL RAMON ARTURO</t>
  </si>
  <si>
    <t>JOSE ISRAEL CORDERO ORTA</t>
  </si>
  <si>
    <t>OP SANDBLAS / PINTURA B</t>
  </si>
  <si>
    <t>CORDERO ORTA JOSE ISRAEL</t>
  </si>
  <si>
    <t>ANABEL VAZQUEZ GOMEZ</t>
  </si>
  <si>
    <t>COORDINADOR DE SUMINISTRO</t>
  </si>
  <si>
    <t>COMPRAS</t>
  </si>
  <si>
    <t>MARCO ANTONIO HERNANDEZ ROMERO</t>
  </si>
  <si>
    <t>VAZQUEZ GOMEZ ANABEL</t>
  </si>
  <si>
    <t>LUIS ALEXIS PERALTA ZAVALA</t>
  </si>
  <si>
    <t>PERALTA ZAVALA LUIS ALEXIS</t>
  </si>
  <si>
    <t>ALFREDO GALLEGOS REYNA</t>
  </si>
  <si>
    <t>GALLEGOS REYNA ALFREDO</t>
  </si>
  <si>
    <t>LEOBARDO GONZALEZ GONZALEZ</t>
  </si>
  <si>
    <t>GONZALEZ, LEOBARDO GONZALEZ</t>
  </si>
  <si>
    <t>MIGUEL ANGEL CASILLAS MEDINA</t>
  </si>
  <si>
    <t>CASILLAS MEDINA MIGUEL ANGEL</t>
  </si>
  <si>
    <t>JESUS EDUARDO HERNANDEZ BARRERA</t>
  </si>
  <si>
    <t>INGENIERO DE PROYECTOS</t>
  </si>
  <si>
    <t>INGENIERIA</t>
  </si>
  <si>
    <t>ISRAEL MOJICA MORALES</t>
  </si>
  <si>
    <t>HERNANDEZ BARRERA JESUS EDUARDO</t>
  </si>
  <si>
    <t>HARRY MITSUO OSORIO MARISCAL</t>
  </si>
  <si>
    <t>HARRY MITSUO OSORIO</t>
  </si>
  <si>
    <t>EDUARDO HERNANDEZ MOLINA</t>
  </si>
  <si>
    <t>MECANICO NAVAL</t>
  </si>
  <si>
    <t>MOLINA, EDUARDO HERNANDEZ</t>
  </si>
  <si>
    <t>LUIS ADRIAN NUÑEZ ANDRADE</t>
  </si>
  <si>
    <t>NUÑEZ ANDRADE LUIS ADRIAN</t>
  </si>
  <si>
    <t>MIGUEL EDUARDO SOTO PEREZ</t>
  </si>
  <si>
    <t>SOTO PEREZ MIGUEL EDUARDO</t>
  </si>
  <si>
    <t>ALONSO RESENDIZ GUTIERREZ</t>
  </si>
  <si>
    <t>JEFE DE GRUPO DESGUACE</t>
  </si>
  <si>
    <t>RESENDIZ GUTIERREZ ALONSO</t>
  </si>
  <si>
    <t>SERGIO ARTURO YORBA ZEPEDA</t>
  </si>
  <si>
    <t>MECÁNICO HIDRÁULICO</t>
  </si>
  <si>
    <t>YORBA ZEPEDA SERGIO ARTURO</t>
  </si>
  <si>
    <t>VICENTE TIZNADO COTA</t>
  </si>
  <si>
    <t>AUXILIAR DE PRODUCCION</t>
  </si>
  <si>
    <t>TIZNADO COTA VICENTE</t>
  </si>
  <si>
    <t>PANTALEON AVALOS VAZQUEZ</t>
  </si>
  <si>
    <t>AVALOS VAZQUEZ PANTALEON</t>
  </si>
  <si>
    <t>CESAR VAZQUEZ HERNANDEZ</t>
  </si>
  <si>
    <t>VAZQUEZ HERNANDEZ CESAR</t>
  </si>
  <si>
    <t>ROGELIO ISAAC MARTINEZ AVILEZ</t>
  </si>
  <si>
    <t>ROGELIO ISAAC MARTINEZ</t>
  </si>
  <si>
    <t>MIGUEL ANGEL VALDESPINO MARES</t>
  </si>
  <si>
    <t>VALDESPINO MARES MIGUEL ANGEL</t>
  </si>
  <si>
    <t>PEDRO JAIMES CIENFUEGOS</t>
  </si>
  <si>
    <t>JAIMES CIENFUEGOS PEDRO</t>
  </si>
  <si>
    <t>ENRIQUE REYES BELTRAN</t>
  </si>
  <si>
    <t>BELTRAN, ENRIQUE REYES</t>
  </si>
  <si>
    <t>JOSE IGNACIO PRIETO TOBA</t>
  </si>
  <si>
    <t>PRIETO TOBA JOSE IGNACIO</t>
  </si>
  <si>
    <t>MIGUEL ANGEL GONZALEZ DIAZ</t>
  </si>
  <si>
    <t>GONZALEZ DIAZ MIGUEL ANGEL</t>
  </si>
  <si>
    <t>CARMELO GARCIA BRITO</t>
  </si>
  <si>
    <t>GARCIA BRITO CARMELO</t>
  </si>
  <si>
    <t>CARLOS ENRIQUE CARRILLO QUINTERO</t>
  </si>
  <si>
    <t>CARRILLO QUINTERO CARLOS ENRIQUE</t>
  </si>
  <si>
    <t>JOSE DE JESUS PEREZ ARCE</t>
  </si>
  <si>
    <t>DE JESUS PEREZ</t>
  </si>
  <si>
    <t>JAVIER SAJID ARREOLA GONZALEZ</t>
  </si>
  <si>
    <t>MECANICO C</t>
  </si>
  <si>
    <t>ARREOLA GONZALEZ JAVIER SAJID</t>
  </si>
  <si>
    <t>MANUEL JOAQUIN ORTA CORDOBA</t>
  </si>
  <si>
    <t>ORTA CORDOBA MANUEL JOAQUIN</t>
  </si>
  <si>
    <t>MARIO ALBERTO MAQUEDA GARCIA</t>
  </si>
  <si>
    <t>MAQUEDA GARCIA MARIO ALBERTO</t>
  </si>
  <si>
    <t>VICTOR SAMUEL MARTINEZ CHAVARRIA</t>
  </si>
  <si>
    <t>MARTINEZ CHAVARRIA VICTOR SAMUEL</t>
  </si>
  <si>
    <t>CRISTIAN ALEXIS NARANJO CHAVEZ</t>
  </si>
  <si>
    <t>NARANJO CHAVEZ CRISTIAN ALEXIS</t>
  </si>
  <si>
    <t>ARTURO VELARDE ANGULO</t>
  </si>
  <si>
    <t>VELARDE ANGULO ARTURO</t>
  </si>
  <si>
    <t>JOAQUIN PALOMARES CARDENAS</t>
  </si>
  <si>
    <t>PALOMARES CARDENAS JOAQUIN</t>
  </si>
  <si>
    <t>MARTIN VICTOR VILLALOBOS GALVAN</t>
  </si>
  <si>
    <t>MARTIN VICTOR VILLALOBOS</t>
  </si>
  <si>
    <t>ROGER ALFREDO AGUILAR ROMERO</t>
  </si>
  <si>
    <t>ESTIMADOR</t>
  </si>
  <si>
    <t>PROYECTOS</t>
  </si>
  <si>
    <t>CRISTINA CLEMENTE XOCHICALE</t>
  </si>
  <si>
    <t>AGUILAR ROMERO ROGER ALFREDO</t>
  </si>
  <si>
    <t>CARLOS URIEL CARMONA HERNANDEZ</t>
  </si>
  <si>
    <t>CARMONA HERNANDEZ CARLOS URIEL</t>
  </si>
  <si>
    <t>JESUS ADRIAN GÜEMES MORALES</t>
  </si>
  <si>
    <t>ELECTROMECANICO A</t>
  </si>
  <si>
    <t>GÜEMES MORALES JESUS ADRIAN</t>
  </si>
  <si>
    <t>LAUREANO AMBROSIO ALVAREZ</t>
  </si>
  <si>
    <t>AMBROSIO ALVAREZ LAUREANO</t>
  </si>
  <si>
    <t>ENRIQUE CAÑEZ OROZCO</t>
  </si>
  <si>
    <t>CAÑEZ OROZCO ENRIQUE</t>
  </si>
  <si>
    <t>LUCIO HERNANDEZ MENDOZA</t>
  </si>
  <si>
    <t>TORNERO</t>
  </si>
  <si>
    <t>JUAN CARLOS LAPIZCO</t>
  </si>
  <si>
    <t>HERNANDEZ MENDOZA LUCIO</t>
  </si>
  <si>
    <t>YUDITH SAYURI MARTINEZ JINES</t>
  </si>
  <si>
    <t>COMPRADOR</t>
  </si>
  <si>
    <t>MARTINEZ JINES YUDITH SAYURI</t>
  </si>
  <si>
    <t>VICTOR MANUEL ORTEGA VELAZQUEZ</t>
  </si>
  <si>
    <t>ALAN RAMIREZ MORALES</t>
  </si>
  <si>
    <t>ORTEGA VELAZQUEZ VICTOR MANUEL</t>
  </si>
  <si>
    <t>MARCO ANTONIO AVENDAÑO GILBERT</t>
  </si>
  <si>
    <t>MARCO ANTONIO AVENDAÑO</t>
  </si>
  <si>
    <t>JUAN LOEZA CISNEROS</t>
  </si>
  <si>
    <t>LOEZA CISNEROS JUAN</t>
  </si>
  <si>
    <t>HECTOR HERNANDEZ RAMIREZ</t>
  </si>
  <si>
    <t>PAILERO F</t>
  </si>
  <si>
    <t>HERNANDEZ RAMIREZ HECTOR</t>
  </si>
  <si>
    <t>JUAN JESUS MORALES GUEVARA</t>
  </si>
  <si>
    <t>MORALES GUEVARA JUAN JESUS</t>
  </si>
  <si>
    <t>ERICK MANUEL MORGADO PARRA</t>
  </si>
  <si>
    <t>MORGADO PARRA ERICK MANUEL</t>
  </si>
  <si>
    <t>JOSE RAUL BELTRAN HERNANDEZ</t>
  </si>
  <si>
    <t>BELTRAN HERNANDEZ JOSE RAUL</t>
  </si>
  <si>
    <t>DELFINO CAMACHO VASQUEZ</t>
  </si>
  <si>
    <t>OPERADOR MONTACARGAS A</t>
  </si>
  <si>
    <t>CAMACHO VASQUEZ DELFINO</t>
  </si>
  <si>
    <t>CARLOS ALBERTO CALDERON AVOYTES</t>
  </si>
  <si>
    <t>CALDERON AVOYTES CARLOS ALBERTO</t>
  </si>
  <si>
    <t>ANTONIO SANTOYO PARTIDA</t>
  </si>
  <si>
    <t>SANTOYO PARTIDA ANTONIO</t>
  </si>
  <si>
    <t>RAFAEL SOLANO VAZQUEZ</t>
  </si>
  <si>
    <t>SOLDADOR FCAW</t>
  </si>
  <si>
    <t>SOLANO VAZQUEZ RAFAEL</t>
  </si>
  <si>
    <t>ANGEL GABRIEL HERNANDEZ CASTREJON</t>
  </si>
  <si>
    <t>AUXILIAR ADMINISTRATIVO</t>
  </si>
  <si>
    <t>HERNANDEZ CASTREJON ANGEL GABRIEL</t>
  </si>
  <si>
    <t>MARIO CALDERON REAL</t>
  </si>
  <si>
    <t>CALDERON REAL MARIO</t>
  </si>
  <si>
    <t>JOSE RAYMUNDO VALENZUELA RENDON</t>
  </si>
  <si>
    <t>VALENZUELA RENDON JOSE RAYMUNDO</t>
  </si>
  <si>
    <t>JOSE LUIS PEREZ RAMIREZ</t>
  </si>
  <si>
    <t>PEREZ RAMIREZ JOSE LUIS</t>
  </si>
  <si>
    <t>JOEL ZAMORA LOPEZ</t>
  </si>
  <si>
    <t>ZAMORA LOPEZ JOEL</t>
  </si>
  <si>
    <t>JESUS ANTONIO MENDEZ OLVERA</t>
  </si>
  <si>
    <t>OPERADOR ORQUESTA</t>
  </si>
  <si>
    <t>MENDEZ OLVERA JESUS ANTONIO</t>
  </si>
  <si>
    <t>TOMAS ZEPEDA NAVA</t>
  </si>
  <si>
    <t>ZEPEDA NAVA TOMAS</t>
  </si>
  <si>
    <t>FELIX GUTIERREZ VILLEGAS</t>
  </si>
  <si>
    <t>GUTIERREZ VILLEGAS FELIX</t>
  </si>
  <si>
    <t>MICHELLE ANGEL SANCHEZ FLORES</t>
  </si>
  <si>
    <t>CAPTURISTA</t>
  </si>
  <si>
    <t>SANCHEZ FLORES MICHELLE ANGEL</t>
  </si>
  <si>
    <t>ALEJANDRO RUIZ CAMACHO</t>
  </si>
  <si>
    <t>CAMACHO, ALEJANDRO RUIZ</t>
  </si>
  <si>
    <t>JORGE ADRIAN VITAL BALCAZAR</t>
  </si>
  <si>
    <t>ELECTRICO C</t>
  </si>
  <si>
    <t>VITAL BALCAZAR JORGE ADRIAN</t>
  </si>
  <si>
    <t>JOSUE ARTURO ZAVALA JIMENEZ</t>
  </si>
  <si>
    <t>ZAVALA JIMENEZ JOSUE ARTURO</t>
  </si>
  <si>
    <t>ROMUALDO RAMON CAMACHO VASQUEZ</t>
  </si>
  <si>
    <t>CAMACHO VASQUEZ ROMUALDO RAMON</t>
  </si>
  <si>
    <t>ORLANDO SAUL MENDOZA ARMENTA</t>
  </si>
  <si>
    <t>MENDOZA ARMENTA ORLANDO SAUL</t>
  </si>
  <si>
    <t>PEDRO REYES SERRANO</t>
  </si>
  <si>
    <t>REYES SERRANO PEDRO</t>
  </si>
  <si>
    <t>ONIX RONIEL COSSIO CEBALLOS</t>
  </si>
  <si>
    <t>COSSIO CEBALLOS ONIX RONIEL</t>
  </si>
  <si>
    <t>LUIS ENRIQUE MEZA MENDEZ</t>
  </si>
  <si>
    <t>CHOFER COMPRAS</t>
  </si>
  <si>
    <t>MEZA MENDEZ LUIS ENRIQUE</t>
  </si>
  <si>
    <t>DILOY GONZALEZ CASTAÑEDA</t>
  </si>
  <si>
    <t>OP SANDBLAS / PINTURA D</t>
  </si>
  <si>
    <t>GONZALEZ CASTAÑEDA DILOY</t>
  </si>
  <si>
    <t>IVAN JAIME CONTRERAS CAZAREZ</t>
  </si>
  <si>
    <t>BUZO</t>
  </si>
  <si>
    <t>CONTRERAS CAZAREZ IVAN JAIME</t>
  </si>
  <si>
    <t>LUIS ENRIQUE NARANJO ZACARIAS</t>
  </si>
  <si>
    <t>MANIOBRISTA A</t>
  </si>
  <si>
    <t>NARANJO ZACARIAS LUIS ENRIQUE</t>
  </si>
  <si>
    <t>JESUS DAVID RIVERA SANCHEZ</t>
  </si>
  <si>
    <t>RIVERA SANCHEZ JESUS DAVID</t>
  </si>
  <si>
    <t>FELIX GUTIERREZ ESTRADA</t>
  </si>
  <si>
    <t>GUTIERREZ ESTRADA FELIX</t>
  </si>
  <si>
    <t>GABRIEL ANTONIO ARCE HIGUERA</t>
  </si>
  <si>
    <t>ARCE HIGUERA GABRIEL ANTONIO</t>
  </si>
  <si>
    <t>ALFREDO YOSSEF RAMIREZ AYALA</t>
  </si>
  <si>
    <t>RAMIREZ AYALA ALFREDO YOSSEF</t>
  </si>
  <si>
    <t>RAMON PINO RUBIO</t>
  </si>
  <si>
    <t>PINO RUBIO RAMON</t>
  </si>
  <si>
    <t>MARIA DANIELA MOLINA MORENO</t>
  </si>
  <si>
    <t>MOLINA MORENO MARIA DANIELA</t>
  </si>
  <si>
    <t>JUAN FRANCISCO CARRILLO MARTINEZ</t>
  </si>
  <si>
    <t>CARRILLO MARTINEZ JUAN FRANCISCO</t>
  </si>
  <si>
    <t>BRYAN ALEXIS GONZALEZ CASTRO</t>
  </si>
  <si>
    <t>GONZALEZ CASTRO BRYAN ALEXIS</t>
  </si>
  <si>
    <t>ANGEL RODOLFO ROJAS MARTINEZ</t>
  </si>
  <si>
    <t>ROJAS MARTINEZ ANGEL RODOLFO</t>
  </si>
  <si>
    <t>EZEQUIEL EDUARDO POSADA FLORES</t>
  </si>
  <si>
    <t>EZEQUIEL EDUARDO POSADA</t>
  </si>
  <si>
    <t>MARIO VICENTE GUTIERREZ RUIZ</t>
  </si>
  <si>
    <t>AYUDANTE SANDBLAS / PINTU</t>
  </si>
  <si>
    <t>GUTIERREZ RUIZ MARIO VICENTE</t>
  </si>
  <si>
    <t>MARCO ANTONIO PORTILLO HIGUERA</t>
  </si>
  <si>
    <t>PORTILLO HIGUERA MARCO ANTONIO</t>
  </si>
  <si>
    <t>PABLO ISMAEL DEL POZO SILVA</t>
  </si>
  <si>
    <t>DEL POZO SILVA PABLO ISMAEL</t>
  </si>
  <si>
    <t>ANGEL SAMMUEL RUBIO ROBLES</t>
  </si>
  <si>
    <t>RUBIO ROBLES ANGEL SAMMUEL</t>
  </si>
  <si>
    <t>ESAU GAMALIEL URIARTE DUARTE</t>
  </si>
  <si>
    <t>URIARTE DUARTE ESAU GAMALIEL</t>
  </si>
  <si>
    <t>JOSE ANTONIO FERRER MEDINA</t>
  </si>
  <si>
    <t>FERRER MEDINA JOSE ANTONIO</t>
  </si>
  <si>
    <t>MARCO ANTONIO PORTILLO COTA</t>
  </si>
  <si>
    <t>TORNERO C</t>
  </si>
  <si>
    <t>PORTILLO COTA MARCO ANTONIO</t>
  </si>
  <si>
    <t>CESAR EDUARDO BELTRAN LOPEZ</t>
  </si>
  <si>
    <t>CESAR EDUARDO BELTRAN</t>
  </si>
  <si>
    <t>ROMEO LOPEZ MORALES</t>
  </si>
  <si>
    <t>LOPEZ MORALES ROMEO</t>
  </si>
  <si>
    <t>BEATRIZ ANGELICA TAPIZ CONTRERAS</t>
  </si>
  <si>
    <t xml:space="preserve">COORDINADOR DE SEGURIDAD </t>
  </si>
  <si>
    <t>BEATRIZ ANGELICA TAPIZ</t>
  </si>
  <si>
    <t>JEFE DE ALMACEN</t>
  </si>
  <si>
    <t>GONZALEZ RUBIO EDER</t>
  </si>
  <si>
    <t>RAMIREZ MORALES ALAN</t>
  </si>
  <si>
    <t>GERARDO VILLA MUÑIZ</t>
  </si>
  <si>
    <t>VILLA MUÑIZ GERARDO</t>
  </si>
  <si>
    <t>LUIS CRUZ</t>
  </si>
  <si>
    <t>PAILERO</t>
  </si>
  <si>
    <t>CRUZ  LUIS</t>
  </si>
  <si>
    <t>ANGEL EDUARDO CANCINO AGUERO</t>
  </si>
  <si>
    <t>CANCINO AGUERO ANGEL EDUARDO</t>
  </si>
  <si>
    <t>LUIS ENRIQUE GARCIA HERNÁNDEZ</t>
  </si>
  <si>
    <t>GARCIA HERNÁNDEZ LUIS ENRIQUE</t>
  </si>
  <si>
    <t>GUSTAVO ALONSO MONCADA JIMENEZ</t>
  </si>
  <si>
    <t>AUXILIAR ALMACÉN</t>
  </si>
  <si>
    <t>MONCADA JIMENEZ GUSTAVO ALONSO</t>
  </si>
  <si>
    <t>PAUL BRIAN CORNEJO LEON</t>
  </si>
  <si>
    <t>CORNEJO LEON PAUL BRIAN</t>
  </si>
  <si>
    <t>JOSE FLORENTINO HERNANDEZ DUARTE</t>
  </si>
  <si>
    <t>HERNANDEZ DUARTE JOSE FLORENTINO</t>
  </si>
  <si>
    <t>GUSTAVO TREVIÑO SILVA</t>
  </si>
  <si>
    <t>TREVIÑO SILVA GUSTAVO</t>
  </si>
  <si>
    <t>LUIS ALBERTO VAZQUEZ HERNANDEZ</t>
  </si>
  <si>
    <t>VAZQUEZ HERNANDEZ LUIS ALBERTO</t>
  </si>
  <si>
    <t>RUIZ LOPEZ SOROVABEL</t>
  </si>
  <si>
    <t>JESUS ANGEL LOBANO TORRES</t>
  </si>
  <si>
    <t>LOBANO TORRES JESUS ANGEL</t>
  </si>
  <si>
    <t>FRANCISCO LOPEZ SALUD</t>
  </si>
  <si>
    <t>LOPEZ SALUD FRANCISCO</t>
  </si>
  <si>
    <t>JESUS GUILLERMO CASTRO TORRES</t>
  </si>
  <si>
    <t>CASTRO TORRES JESUS GUILLERMO</t>
  </si>
  <si>
    <t>MANUEL ALBERTO RANGEL MENDOZA</t>
  </si>
  <si>
    <t>INGENIERO DE CALIDAD</t>
  </si>
  <si>
    <t>CALIDAD</t>
  </si>
  <si>
    <t>RUFINO CUCURACHI GARCIA</t>
  </si>
  <si>
    <t>RANGEL MENDOZA MANUEL ALBERTO</t>
  </si>
  <si>
    <t>JESUS VILLAVICENCIO GARCIA</t>
  </si>
  <si>
    <t>GARCIA, JESUS VILLAVICENCIO</t>
  </si>
  <si>
    <t>RAUL DE JESUS RUIZ CARRASQUEDO</t>
  </si>
  <si>
    <t>RUIZ CARRASQUEDO RAUL DE JESUS</t>
  </si>
  <si>
    <t>VICTOR MANUEL VALADEZ ROMERO</t>
  </si>
  <si>
    <t>VALADEZ ROMERO VICTOR MANUEL</t>
  </si>
  <si>
    <t>FRANCISCO ALEJANDRO TORRES LOPEZ</t>
  </si>
  <si>
    <t>TORRES LOPEZ FRANCISCO ALEJANDRO</t>
  </si>
  <si>
    <t>URVANO HUGO CARDONA BLANCO</t>
  </si>
  <si>
    <t>CARDONA BLANCO URVANO HUGO</t>
  </si>
  <si>
    <t>DIEGO GUADALUPE BUSTOS GUTIERREZ</t>
  </si>
  <si>
    <t>TECNICO DE RESIDUOS PELIG</t>
  </si>
  <si>
    <t>SU LIN ZAMORA HIERRO</t>
  </si>
  <si>
    <t>DIEGO GUADALUPE BUSTOS</t>
  </si>
  <si>
    <t>FRANCISCO ANTONIO AGUILAR ARCEO</t>
  </si>
  <si>
    <t>AGUILAR ARCEO FRANCISCO ANTONIO</t>
  </si>
  <si>
    <t>MARISELA MENDEZ ALTEHUA</t>
  </si>
  <si>
    <t>ALTEHUA, MARISELA MENDEZ</t>
  </si>
  <si>
    <t>JUAN LAUREANO ROMERO PERALTA</t>
  </si>
  <si>
    <t>ROMERO PERALTA JUAN LAUREANO</t>
  </si>
  <si>
    <t>KIMBERLY MARIBEL GARCIA ESTRADA</t>
  </si>
  <si>
    <t>ENFERMERA</t>
  </si>
  <si>
    <t>KIMBERLY MARIBEL GARCIA</t>
  </si>
  <si>
    <t>ANGEL ISAI MEDRANO MIRANDA</t>
  </si>
  <si>
    <t>MEDRANO MIRANDA ANGEL ISAI</t>
  </si>
  <si>
    <t>JORGE RAFAEL ARELLANO PEÑALOZA</t>
  </si>
  <si>
    <t>ARELLANO PEÑALOZA JORGE RAFAEL</t>
  </si>
  <si>
    <t>JULIO CESAR LEPE GALLEGOS</t>
  </si>
  <si>
    <t>LEPE GALLEGOS JULIO CESAR</t>
  </si>
  <si>
    <t>CARLOS JULIAN WENCES LOPEZ</t>
  </si>
  <si>
    <t>WENCES LOPEZ CARLOS JULIAN</t>
  </si>
  <si>
    <t>DELFINO SANCHEZ HERNANDEZ</t>
  </si>
  <si>
    <t>SANCHEZ HERNANDEZ DELFINO</t>
  </si>
  <si>
    <t>HIRAM ALEJANDRO SARABIA CONTRERAS</t>
  </si>
  <si>
    <t>SARABIA CONTRERAS HIRAM ALEJANDRO</t>
  </si>
  <si>
    <t>JEREMY SANNY BAUTISTA RIVERA</t>
  </si>
  <si>
    <t>BAUTISTA RIVERA JEREMY SANNY</t>
  </si>
  <si>
    <t>LORENZO MATAMOROS MENDOZA</t>
  </si>
  <si>
    <t>MATAMOROS MENDOZA LORENZO</t>
  </si>
  <si>
    <t>SLOBODAN SAMUEL ORTEGA DE LA TORRE</t>
  </si>
  <si>
    <t>ORTEGA DE LA TORRE SLOBODAN SAMUEL</t>
  </si>
  <si>
    <t>VICTOR ALEJANDRO RIVERA AGRAMON</t>
  </si>
  <si>
    <t>REQUISITOR</t>
  </si>
  <si>
    <t>RIVERA AGRAMON VICTOR ALEJANDRO</t>
  </si>
  <si>
    <t>NICOLAS TLAPA SOLANO</t>
  </si>
  <si>
    <t>TLAPA SOLANO NICOLAS</t>
  </si>
  <si>
    <t>RAMSES SAID GALICIA OSORIO</t>
  </si>
  <si>
    <t>GALICIA OSORIO RAMSES SAID</t>
  </si>
  <si>
    <t>LUIS MATAMOROS MENDOZA</t>
  </si>
  <si>
    <t>MATAMOROS MENDOZA LUIS</t>
  </si>
  <si>
    <t>ISRAEL MARTINEZ AMAYA</t>
  </si>
  <si>
    <t>MARTINEZ AMAYA ISRAEL</t>
  </si>
  <si>
    <t>JONATHAN LOPEZ LOPEZ</t>
  </si>
  <si>
    <t>LOPEZ LOPEZ JONATHAN</t>
  </si>
  <si>
    <t>HUGO CESAR SANTIAGO POOT</t>
  </si>
  <si>
    <t>SANTIAGO POOT HUGO CESAR</t>
  </si>
  <si>
    <t>KEVIN ERNESTO FELIX GAZCA</t>
  </si>
  <si>
    <t>FELIX GAZCA KEVIN ERNESTO</t>
  </si>
  <si>
    <t>ISIDRO OLGUIN RODARTE</t>
  </si>
  <si>
    <t>OLGUIN RODARTE ISIDRO</t>
  </si>
  <si>
    <t>EDGAR FABIAN LEON AGUILAR</t>
  </si>
  <si>
    <t>LEON AGUILAR EDGAR FABIAN</t>
  </si>
  <si>
    <t>JUAN JOSE CAÑEDO REYES</t>
  </si>
  <si>
    <t>CAÑEDO REYES JUAN JOSE</t>
  </si>
  <si>
    <t>ADOLFO TALABERA OLIVOS</t>
  </si>
  <si>
    <t>OLIVOS, ADOLFO TALABERA</t>
  </si>
  <si>
    <t>FRANCISCO GONZALEZ GONZALEZ</t>
  </si>
  <si>
    <t>GONZALEZ GONZALEZ FRANCISCO</t>
  </si>
  <si>
    <t>MARIO SANCHEZ CORONA</t>
  </si>
  <si>
    <t>SANCHEZ CORONA MARIO</t>
  </si>
  <si>
    <t>JOEL ORTIZ GARCIA</t>
  </si>
  <si>
    <t>ORTIZ GARCIA JOEL</t>
  </si>
  <si>
    <t>SALAS CALVO ALEJANDRO</t>
  </si>
  <si>
    <t>RICARDO SANTOYO LOPEZ</t>
  </si>
  <si>
    <t>SANTOYO LOPEZ RICARDO</t>
  </si>
  <si>
    <t>URIEL CHAVEZ PALOMAREZ</t>
  </si>
  <si>
    <t>PALOMAREZ, URIEL CHAVEZ</t>
  </si>
  <si>
    <t>JORGE BEJARANO VALENCIA</t>
  </si>
  <si>
    <t>BEJARANO VALENCIA JORGE</t>
  </si>
  <si>
    <t>FRANCISCO ALBERT BAUTISTA GUERRERO</t>
  </si>
  <si>
    <t>CARROCERO</t>
  </si>
  <si>
    <t>BAUTISTA GUERRERO FRANCISCO ALBERT</t>
  </si>
  <si>
    <t>CARLOS ANTONIO GONZALEZ ARELLANO</t>
  </si>
  <si>
    <t>GONZALEZ ARELLANO CARLOS ANTONIO</t>
  </si>
  <si>
    <t>ABRAHAM ALEJANDRO VERA BARAJAS</t>
  </si>
  <si>
    <t>VERA BARAJAS ABRAHAM ALEJANDRO</t>
  </si>
  <si>
    <t>JORGE LUIS TORRES LOPEZ</t>
  </si>
  <si>
    <t>TORRES LOPEZ JORGE LUIS</t>
  </si>
  <si>
    <t>JESUS SALVADOR GOMEZ RUEDA</t>
  </si>
  <si>
    <t>GOMEZ RUEDA JESUS SALVADOR</t>
  </si>
  <si>
    <t>ALEXIS GERARDO MARTINEZ RANGEL</t>
  </si>
  <si>
    <t>MARTINEZ RANGEL ALEXIS GERARDO</t>
  </si>
  <si>
    <t>SERGIO JOSE DE J GARNICA RODRIGUEZ</t>
  </si>
  <si>
    <t>DE J GARNICA</t>
  </si>
  <si>
    <t>VICTORIANO CARRASCO MARTINEZ</t>
  </si>
  <si>
    <t>CARRASCO MARTINEZ VICTORIANO</t>
  </si>
  <si>
    <t>DANIEL HERNANDEZ ALDANA</t>
  </si>
  <si>
    <t>HERNANDEZ ALDANA DANIEL</t>
  </si>
  <si>
    <t>MANUEL ALEJANDRO RAMIREZ CASTAN</t>
  </si>
  <si>
    <t>RAMIREZ CASTAN MANUEL ALEJANDRO</t>
  </si>
  <si>
    <t>VALENTIN LIZARRAGA PEREZ</t>
  </si>
  <si>
    <t>LIZARRAGA PEREZ VALENTIN</t>
  </si>
  <si>
    <t>MARTIN HERNANDEZ MARTINEZ</t>
  </si>
  <si>
    <t>HERNANDEZ MARTINEZ MARTIN</t>
  </si>
  <si>
    <t>CARLOS EMMANUEL PEREZ ALVARADO</t>
  </si>
  <si>
    <t>PEREZ ALVARADO CARLOS EMMANUEL</t>
  </si>
  <si>
    <t>ISAAC CARVAJAL MARTINEZ</t>
  </si>
  <si>
    <t>CARVAJAL MARTINEZ ISAAC</t>
  </si>
  <si>
    <t>RODRIGO ALEXIS CABRALES LEYVA</t>
  </si>
  <si>
    <t>CABRALES LEYVA RODRIGO ALEXIS</t>
  </si>
  <si>
    <t>RENE DE JESUS PEREZ GARCIA</t>
  </si>
  <si>
    <t>PEREZ GARCIA RENE DE JESUS</t>
  </si>
  <si>
    <t>CARLOS DANIEL GALLEGOS MORALES</t>
  </si>
  <si>
    <t>GALLEGOS MORALES CARLOS DANIEL</t>
  </si>
  <si>
    <t>SUPERVISOR DE PINTURA</t>
  </si>
  <si>
    <t>CHAVEZ BRITO LUIS DAVID</t>
  </si>
  <si>
    <t>JORGE RIVERA HERMOSILLO</t>
  </si>
  <si>
    <t>RIVERA HERMOSILLO JORGE</t>
  </si>
  <si>
    <t>MARCOS ANTONIO LOZANO MACHADO</t>
  </si>
  <si>
    <t>LOZANO MACHADO MARCOS ANTONIO</t>
  </si>
  <si>
    <t>ALEXIS SERENO NAVARRETE</t>
  </si>
  <si>
    <t>SERENO NAVARRETE ALEXIS</t>
  </si>
  <si>
    <t>BERTIN FERNANDO LEAL DE JESUS</t>
  </si>
  <si>
    <t>LEAL DE JESUS BERTIN FERNANDO</t>
  </si>
  <si>
    <t>FRANCISCO JAVIER LARA SANDOVAL</t>
  </si>
  <si>
    <t>LARA SANDOVAL FRANCISCO JAVIER</t>
  </si>
  <si>
    <t>ARAM ALBERTO MONTAÑEZ MENDOZA</t>
  </si>
  <si>
    <t>MONTAÑEZ MENDOZA ARAM ALBERTO</t>
  </si>
  <si>
    <t>DARINEL MORENO MORALES</t>
  </si>
  <si>
    <t>MORENO MORALES DARINEL</t>
  </si>
  <si>
    <t>LUIS ALFREDO MADRIGAL CANDELARIO</t>
  </si>
  <si>
    <t>MADRIGAL CANDELARIO LUIS ALFREDO</t>
  </si>
  <si>
    <t>CARLOS FELIX CUE CRUZ</t>
  </si>
  <si>
    <t xml:space="preserve">OFICIAL DE PROTECCION DE </t>
  </si>
  <si>
    <t>ING. ROBERTO CURIEL</t>
  </si>
  <si>
    <t>CARLOS FELIX CUE</t>
  </si>
  <si>
    <t>JUAN JOSE ROMERO ARZABAL</t>
  </si>
  <si>
    <t>ROMERO ARZABAL JUAN JOSE</t>
  </si>
  <si>
    <t>JOSUE ISRAEL QUIÑONEZ RIOS</t>
  </si>
  <si>
    <t>QUIÑONEZ RIOS JOSUE ISRAEL</t>
  </si>
  <si>
    <t>JOEL DAVID GARCIA TOVAR</t>
  </si>
  <si>
    <t>GARCIA TOVAR JOEL DAVID</t>
  </si>
  <si>
    <t>JESUS LARA VIDAÑA</t>
  </si>
  <si>
    <t>LARA VIDAÑA JESUS</t>
  </si>
  <si>
    <t>ALFONSO CANIZALES BRECEDA</t>
  </si>
  <si>
    <t>CANIZALES BRECEDA ALFONSO</t>
  </si>
  <si>
    <t>CRISTHIAN MANUEL BELTRAN GOMEN</t>
  </si>
  <si>
    <t>BELTRAN GOMEN CRISTHIAN MANUEL</t>
  </si>
  <si>
    <t>SAUL ULISES DOMINGUEZ RIVERA</t>
  </si>
  <si>
    <t>DOMINGUEZ RIVERA SAUL ULISES</t>
  </si>
  <si>
    <t>JUAN PABLO OLAYO CARBAJAL</t>
  </si>
  <si>
    <t>OLAYO CARBAJAL JUAN PABLO</t>
  </si>
  <si>
    <t>RICARDO ESTEBAN CURIEL MUZQUIZ</t>
  </si>
  <si>
    <t>ADMINISTRACION ENSENADA</t>
  </si>
  <si>
    <t>CURIEL MUZQUIZ RICARDO ESTEBAN</t>
  </si>
  <si>
    <t>REPORTE DE INCIDENCIA DE HERRAMIENTA</t>
  </si>
  <si>
    <t>FECHA REPORTE :</t>
  </si>
  <si>
    <t>LUGAR Y FECHA SUCESO :</t>
  </si>
  <si>
    <t>NOTA: Al firmar el reporte el colaborador acepta la resolucion que sea emitida por el Coordinador de Soporte Operativo.</t>
  </si>
  <si>
    <t>ROBO:</t>
  </si>
  <si>
    <t>EXTRAVIO:</t>
  </si>
  <si>
    <t>NEGLIGENCIA:</t>
  </si>
  <si>
    <t>CAIDA AL MAR:</t>
  </si>
  <si>
    <t>APLASTAMIENTO:</t>
  </si>
  <si>
    <t>MARCAR EL TIPO DE INCIDETE:</t>
  </si>
  <si>
    <t>AUSENTISMO:</t>
  </si>
  <si>
    <t>ACCIDENTE:</t>
  </si>
  <si>
    <t>PUESTO/CATEGORIA:</t>
  </si>
  <si>
    <t>HORA REPORTE :</t>
  </si>
  <si>
    <t>X</t>
  </si>
  <si>
    <t>NO. ECONOMICO</t>
  </si>
  <si>
    <t>CANTIDAD</t>
  </si>
  <si>
    <t>DESCRIPCION DE ARTICULO</t>
  </si>
  <si>
    <t>FOLIO</t>
  </si>
  <si>
    <t>DESCRIPCION DEL EVENTO O CIRCUNSTANCIA: DESCRIBIR DE MANERA CLARA Y DETALLADA, LUGAR Y HORA DEL SUCESO ASI COMO TESTIGOS QUE PUEDAN CORROBORAR LO QUE SE VA REGISTRAR EN ESTE REPORTE:</t>
  </si>
  <si>
    <t>CONATO DE INCENDIO:</t>
  </si>
  <si>
    <t xml:space="preserve"> NOMBRE DE EMPLEADO:</t>
  </si>
  <si>
    <t xml:space="preserve">ESTADO PREVIO </t>
  </si>
  <si>
    <t>NO. DE EMPLEADO:</t>
  </si>
  <si>
    <t>VALOR APROX.</t>
  </si>
  <si>
    <t>FECHA REPORTE:</t>
  </si>
  <si>
    <t>HORA REPORTE:</t>
  </si>
  <si>
    <t>MARCAR EL TIPO DE INCIDENTE:</t>
  </si>
  <si>
    <t>LUGAR Y FECHA SUCESO:</t>
  </si>
  <si>
    <t>FOLIO: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</si>
</sst>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No.&quot;\ \ #"/>
    <numFmt numFmtId="165" formatCode="&quot;No.&quot;\ \ 00000#"/>
    <numFmt numFmtId="166" formatCode="[$-409]d\-mmm\-yy;@"/>
    <numFmt numFmtId="167" formatCode="dd\-mmm\-yyyy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4"/>
      <color theme="0"/>
      <name val="Arial"/>
      <family val="2"/>
    </font>
    <font>
      <sz val="16"/>
      <color rgb="FFC00000"/>
      <name val="Franklin Gothic Demi Cond"/>
      <family val="2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rgb="FFC00000"/>
      <name val="Franklin Gothic Demi Cond"/>
      <family val="2"/>
    </font>
    <font>
      <b/>
      <sz val="11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14"/>
      <color rgb="FF00928F"/>
      <name val="Franklin Gothic Demi Cond"/>
      <family val="2"/>
    </font>
    <font>
      <b/>
      <sz val="12"/>
      <color rgb="FF00928F"/>
      <name val="Franklin Gothic Medium Cond"/>
      <family val="2"/>
    </font>
    <font>
      <sz val="11"/>
      <color rgb="FF00928F"/>
      <name val="Franklin Gothic Medium Cond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273246"/>
        <bgColor indexed="64"/>
      </patternFill>
    </fill>
    <fill>
      <patternFill patternType="solid">
        <fgColor rgb="FF00AEAA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273246"/>
      </left>
      <right style="thin">
        <color rgb="FF273246"/>
      </right>
      <top style="thin">
        <color rgb="FF273246"/>
      </top>
      <bottom style="thin">
        <color rgb="FF273246"/>
      </bottom>
      <diagonal/>
    </border>
    <border>
      <left style="thin">
        <color rgb="FF273246"/>
      </left>
      <right/>
      <top style="thin">
        <color rgb="FF273246"/>
      </top>
      <bottom style="thin">
        <color rgb="FF273246"/>
      </bottom>
      <diagonal/>
    </border>
    <border>
      <left/>
      <right/>
      <top style="thin">
        <color rgb="FF273246"/>
      </top>
      <bottom style="thin">
        <color rgb="FF273246"/>
      </bottom>
      <diagonal/>
    </border>
    <border>
      <left/>
      <right style="thin">
        <color rgb="FF273246"/>
      </right>
      <top style="thin">
        <color rgb="FF273246"/>
      </top>
      <bottom style="thin">
        <color rgb="FF273246"/>
      </bottom>
      <diagonal/>
    </border>
    <border>
      <left style="thin">
        <color rgb="FF273246"/>
      </left>
      <right style="thin">
        <color rgb="FF273246"/>
      </right>
      <top/>
      <bottom style="thin">
        <color rgb="FF273246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rgb="FF273246"/>
      </left>
      <right style="thin">
        <color rgb="FF273246"/>
      </right>
      <top style="thin">
        <color rgb="FF273246"/>
      </top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double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thin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thin">
        <color indexed="64"/>
      </left>
      <right style="dotted">
        <color indexed="64"/>
      </right>
      <top style="thin">
        <color theme="0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theme="0"/>
      </top>
      <bottom style="dotted">
        <color indexed="64"/>
      </bottom>
      <diagonal/>
    </border>
    <border>
      <left style="thin">
        <color indexed="64"/>
      </left>
      <right/>
      <top style="thin">
        <color theme="0"/>
      </top>
      <bottom style="dotted">
        <color indexed="64"/>
      </bottom>
      <diagonal/>
    </border>
    <border>
      <left/>
      <right style="thin">
        <color indexed="64"/>
      </right>
      <top style="thin">
        <color theme="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double">
        <color theme="0"/>
      </right>
      <top style="double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uble">
        <color theme="0"/>
      </left>
      <right style="thin">
        <color indexed="64"/>
      </right>
      <top style="double">
        <color theme="0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/>
      <right style="thin">
        <color indexed="64"/>
      </right>
      <top style="thin">
        <color theme="0"/>
      </top>
      <bottom style="hair">
        <color indexed="64"/>
      </bottom>
      <diagonal/>
    </border>
    <border>
      <left style="thin">
        <color theme="0"/>
      </left>
      <right/>
      <top style="thin">
        <color theme="1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hair">
        <color indexed="64"/>
      </bottom>
      <diagonal/>
    </border>
    <border>
      <left/>
      <right style="thin">
        <color indexed="64"/>
      </right>
      <top style="thin">
        <color theme="1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1" xfId="0" applyBorder="1"/>
    <xf numFmtId="0" fontId="1" fillId="3" borderId="10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6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0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5" borderId="9" xfId="0" applyFill="1" applyBorder="1"/>
    <xf numFmtId="0" fontId="0" fillId="5" borderId="5" xfId="0" applyFill="1" applyBorder="1"/>
    <xf numFmtId="0" fontId="0" fillId="5" borderId="11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center" vertical="center"/>
    </xf>
    <xf numFmtId="0" fontId="1" fillId="4" borderId="22" xfId="1" applyFill="1" applyBorder="1" applyAlignment="1">
      <alignment horizontal="center" vertical="center"/>
    </xf>
    <xf numFmtId="0" fontId="1" fillId="4" borderId="22" xfId="1" applyFill="1" applyBorder="1"/>
    <xf numFmtId="0" fontId="0" fillId="6" borderId="0" xfId="0" applyFill="1" applyBorder="1" applyProtection="1">
      <protection locked="0"/>
    </xf>
    <xf numFmtId="0" fontId="0" fillId="6" borderId="0" xfId="0" applyFill="1" applyBorder="1" applyAlignment="1" applyProtection="1">
      <alignment horizontal="center"/>
    </xf>
    <xf numFmtId="0" fontId="0" fillId="6" borderId="0" xfId="0" applyFill="1" applyBorder="1" applyAlignment="1" applyProtection="1">
      <alignment horizontal="center"/>
      <protection locked="0"/>
    </xf>
    <xf numFmtId="0" fontId="8" fillId="6" borderId="0" xfId="0" applyFont="1" applyFill="1" applyBorder="1" applyAlignment="1" applyProtection="1">
      <protection locked="0"/>
    </xf>
    <xf numFmtId="0" fontId="2" fillId="6" borderId="0" xfId="0" applyFont="1" applyFill="1" applyBorder="1" applyAlignment="1" applyProtection="1">
      <protection locked="0"/>
    </xf>
    <xf numFmtId="0" fontId="1" fillId="6" borderId="0" xfId="1" applyFont="1" applyFill="1" applyBorder="1" applyAlignment="1" applyProtection="1">
      <alignment horizontal="center" vertical="center" wrapText="1"/>
      <protection locked="0"/>
    </xf>
    <xf numFmtId="0" fontId="5" fillId="6" borderId="0" xfId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Protection="1">
      <protection locked="0"/>
    </xf>
    <xf numFmtId="0" fontId="10" fillId="6" borderId="0" xfId="1" applyFont="1" applyFill="1" applyBorder="1" applyAlignment="1" applyProtection="1">
      <alignment horizontal="justify" vertical="justify" wrapText="1"/>
      <protection locked="0"/>
    </xf>
    <xf numFmtId="0" fontId="0" fillId="0" borderId="0" xfId="0" applyBorder="1" applyProtection="1">
      <protection locked="0"/>
    </xf>
    <xf numFmtId="0" fontId="0" fillId="6" borderId="24" xfId="0" applyFill="1" applyBorder="1" applyProtection="1">
      <protection locked="0"/>
    </xf>
    <xf numFmtId="0" fontId="0" fillId="0" borderId="30" xfId="0" applyBorder="1" applyProtection="1">
      <protection locked="0"/>
    </xf>
    <xf numFmtId="0" fontId="0" fillId="6" borderId="26" xfId="0" applyFill="1" applyBorder="1" applyProtection="1">
      <protection locked="0"/>
    </xf>
    <xf numFmtId="0" fontId="0" fillId="6" borderId="27" xfId="0" applyFill="1" applyBorder="1" applyProtection="1">
      <protection locked="0"/>
    </xf>
    <xf numFmtId="0" fontId="10" fillId="6" borderId="27" xfId="1" applyFont="1" applyFill="1" applyBorder="1" applyAlignment="1" applyProtection="1">
      <alignment horizontal="justify" vertical="justify" wrapText="1"/>
      <protection locked="0"/>
    </xf>
    <xf numFmtId="0" fontId="10" fillId="6" borderId="23" xfId="1" applyFont="1" applyFill="1" applyBorder="1" applyAlignment="1" applyProtection="1">
      <alignment horizontal="justify" vertical="justify" wrapText="1"/>
      <protection locked="0"/>
    </xf>
    <xf numFmtId="0" fontId="10" fillId="6" borderId="28" xfId="1" applyFont="1" applyFill="1" applyBorder="1" applyAlignment="1" applyProtection="1">
      <alignment horizontal="justify" vertical="justify" wrapText="1"/>
      <protection locked="0"/>
    </xf>
    <xf numFmtId="0" fontId="10" fillId="6" borderId="26" xfId="1" applyFont="1" applyFill="1" applyBorder="1" applyAlignment="1" applyProtection="1">
      <alignment horizontal="justify" vertical="justify" wrapText="1"/>
      <protection locked="0"/>
    </xf>
    <xf numFmtId="0" fontId="10" fillId="6" borderId="24" xfId="1" applyFont="1" applyFill="1" applyBorder="1" applyAlignment="1" applyProtection="1">
      <alignment horizontal="justify" vertical="justify" wrapTex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9" fillId="6" borderId="33" xfId="0" applyFont="1" applyFill="1" applyBorder="1" applyAlignment="1" applyProtection="1">
      <protection locked="0"/>
    </xf>
    <xf numFmtId="0" fontId="9" fillId="6" borderId="21" xfId="0" applyFont="1" applyFill="1" applyBorder="1" applyAlignment="1" applyProtection="1">
      <protection locked="0"/>
    </xf>
    <xf numFmtId="0" fontId="9" fillId="6" borderId="34" xfId="0" applyFont="1" applyFill="1" applyBorder="1" applyAlignment="1" applyProtection="1">
      <protection locked="0"/>
    </xf>
    <xf numFmtId="0" fontId="10" fillId="6" borderId="35" xfId="1" applyFont="1" applyFill="1" applyBorder="1" applyAlignment="1" applyProtection="1">
      <alignment horizontal="justify" vertical="justify" wrapText="1"/>
      <protection locked="0"/>
    </xf>
    <xf numFmtId="0" fontId="10" fillId="6" borderId="16" xfId="1" applyFont="1" applyFill="1" applyBorder="1" applyAlignment="1" applyProtection="1">
      <alignment horizontal="justify" vertical="justify" wrapText="1"/>
      <protection locked="0"/>
    </xf>
    <xf numFmtId="0" fontId="10" fillId="6" borderId="37" xfId="1" applyFont="1" applyFill="1" applyBorder="1" applyAlignment="1" applyProtection="1">
      <alignment horizontal="justify" vertical="justify" wrapText="1"/>
      <protection locked="0"/>
    </xf>
    <xf numFmtId="0" fontId="10" fillId="6" borderId="38" xfId="1" applyFont="1" applyFill="1" applyBorder="1" applyAlignment="1" applyProtection="1">
      <alignment horizontal="justify" vertical="justify" wrapText="1"/>
      <protection locked="0"/>
    </xf>
    <xf numFmtId="0" fontId="8" fillId="0" borderId="15" xfId="0" applyFont="1" applyBorder="1" applyAlignment="1" applyProtection="1">
      <alignment horizontal="right" vertical="center"/>
      <protection locked="0"/>
    </xf>
    <xf numFmtId="0" fontId="2" fillId="7" borderId="15" xfId="0" applyFont="1" applyFill="1" applyBorder="1" applyAlignment="1" applyProtection="1">
      <alignment horizontal="center" vertical="center"/>
    </xf>
    <xf numFmtId="0" fontId="8" fillId="0" borderId="15" xfId="0" applyFont="1" applyBorder="1" applyAlignment="1" applyProtection="1">
      <alignment horizontal="right"/>
    </xf>
    <xf numFmtId="0" fontId="8" fillId="0" borderId="15" xfId="0" applyFont="1" applyBorder="1" applyAlignment="1" applyProtection="1">
      <alignment horizontal="right" vertical="center"/>
    </xf>
    <xf numFmtId="0" fontId="2" fillId="7" borderId="15" xfId="0" applyFont="1" applyFill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right"/>
      <protection locked="0"/>
    </xf>
    <xf numFmtId="16" fontId="0" fillId="0" borderId="48" xfId="0" applyNumberFormat="1" applyFont="1" applyBorder="1" applyAlignment="1" applyProtection="1">
      <alignment horizontal="center" vertical="center"/>
      <protection locked="0"/>
    </xf>
    <xf numFmtId="0" fontId="0" fillId="6" borderId="50" xfId="0" applyFill="1" applyBorder="1" applyProtection="1">
      <protection locked="0"/>
    </xf>
    <xf numFmtId="0" fontId="1" fillId="3" borderId="15" xfId="0" applyFont="1" applyFill="1" applyBorder="1" applyAlignment="1" applyProtection="1">
      <alignment horizontal="right" vertical="center"/>
      <protection locked="0"/>
    </xf>
    <xf numFmtId="0" fontId="1" fillId="3" borderId="15" xfId="0" applyFont="1" applyFill="1" applyBorder="1" applyAlignment="1" applyProtection="1">
      <alignment horizontal="right" vertical="center" wrapText="1"/>
      <protection locked="0"/>
    </xf>
    <xf numFmtId="0" fontId="9" fillId="6" borderId="42" xfId="0" applyFont="1" applyFill="1" applyBorder="1" applyAlignment="1" applyProtection="1"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2" fillId="6" borderId="0" xfId="0" applyFont="1" applyFill="1" applyBorder="1" applyAlignment="1" applyProtection="1">
      <alignment vertical="center" wrapText="1"/>
      <protection locked="0"/>
    </xf>
    <xf numFmtId="0" fontId="9" fillId="6" borderId="63" xfId="0" applyFont="1" applyFill="1" applyBorder="1" applyAlignment="1" applyProtection="1">
      <protection locked="0"/>
    </xf>
    <xf numFmtId="0" fontId="0" fillId="0" borderId="68" xfId="0" applyBorder="1" applyProtection="1">
      <protection locked="0"/>
    </xf>
    <xf numFmtId="0" fontId="0" fillId="0" borderId="70" xfId="0" applyBorder="1" applyProtection="1">
      <protection locked="0"/>
    </xf>
    <xf numFmtId="0" fontId="1" fillId="3" borderId="86" xfId="0" applyFont="1" applyFill="1" applyBorder="1" applyAlignment="1" applyProtection="1">
      <alignment horizontal="center" vertical="center"/>
      <protection locked="0"/>
    </xf>
    <xf numFmtId="0" fontId="1" fillId="3" borderId="87" xfId="0" applyFont="1" applyFill="1" applyBorder="1" applyAlignment="1" applyProtection="1">
      <alignment horizontal="center" vertical="center"/>
      <protection locked="0"/>
    </xf>
    <xf numFmtId="0" fontId="0" fillId="0" borderId="88" xfId="0" applyBorder="1" applyProtection="1">
      <protection locked="0"/>
    </xf>
    <xf numFmtId="0" fontId="8" fillId="0" borderId="20" xfId="0" applyFont="1" applyBorder="1" applyAlignment="1" applyProtection="1">
      <alignment horizontal="right" vertical="center"/>
    </xf>
    <xf numFmtId="0" fontId="8" fillId="0" borderId="90" xfId="0" applyFont="1" applyBorder="1" applyAlignment="1" applyProtection="1">
      <alignment horizontal="right" vertical="center"/>
      <protection locked="0"/>
    </xf>
    <xf numFmtId="0" fontId="8" fillId="0" borderId="54" xfId="0" applyFont="1" applyBorder="1" applyAlignment="1" applyProtection="1">
      <alignment horizontal="right" vertical="center"/>
      <protection locked="0"/>
    </xf>
    <xf numFmtId="0" fontId="2" fillId="6" borderId="91" xfId="0" applyFont="1" applyFill="1" applyBorder="1" applyAlignment="1" applyProtection="1">
      <alignment horizontal="center" vertical="center"/>
    </xf>
    <xf numFmtId="0" fontId="2" fillId="6" borderId="43" xfId="0" applyFont="1" applyFill="1" applyBorder="1" applyAlignment="1" applyProtection="1">
      <alignment horizontal="center" vertical="center"/>
      <protection locked="0"/>
    </xf>
    <xf numFmtId="0" fontId="2" fillId="6" borderId="43" xfId="0" applyFont="1" applyFill="1" applyBorder="1" applyAlignment="1" applyProtection="1">
      <alignment horizontal="center" vertical="center"/>
    </xf>
    <xf numFmtId="0" fontId="2" fillId="6" borderId="55" xfId="0" applyFont="1" applyFill="1" applyBorder="1" applyAlignment="1" applyProtection="1">
      <alignment horizontal="center" vertical="center"/>
      <protection locked="0"/>
    </xf>
    <xf numFmtId="0" fontId="8" fillId="0" borderId="62" xfId="0" applyFont="1" applyBorder="1" applyAlignment="1" applyProtection="1">
      <alignment horizontal="right" vertical="center"/>
    </xf>
    <xf numFmtId="0" fontId="2" fillId="6" borderId="92" xfId="0" applyFont="1" applyFill="1" applyBorder="1" applyAlignment="1" applyProtection="1">
      <alignment horizontal="center" vertical="center"/>
    </xf>
    <xf numFmtId="0" fontId="2" fillId="6" borderId="44" xfId="0" applyFont="1" applyFill="1" applyBorder="1" applyAlignment="1" applyProtection="1">
      <alignment horizontal="center" vertical="center"/>
      <protection locked="0"/>
    </xf>
    <xf numFmtId="0" fontId="2" fillId="6" borderId="44" xfId="0" applyFont="1" applyFill="1" applyBorder="1" applyAlignment="1" applyProtection="1">
      <alignment horizontal="center" vertical="center"/>
    </xf>
    <xf numFmtId="0" fontId="2" fillId="6" borderId="45" xfId="0" applyFont="1" applyFill="1" applyBorder="1" applyAlignment="1" applyProtection="1">
      <alignment horizontal="center" vertical="center"/>
      <protection locked="0"/>
    </xf>
    <xf numFmtId="0" fontId="14" fillId="3" borderId="84" xfId="0" applyFont="1" applyFill="1" applyBorder="1" applyAlignment="1" applyProtection="1">
      <alignment vertical="center" wrapText="1"/>
      <protection locked="0"/>
    </xf>
    <xf numFmtId="0" fontId="14" fillId="3" borderId="82" xfId="0" applyFont="1" applyFill="1" applyBorder="1" applyAlignment="1" applyProtection="1">
      <alignment vertical="center" wrapText="1"/>
      <protection locked="0"/>
    </xf>
    <xf numFmtId="0" fontId="8" fillId="0" borderId="43" xfId="0" applyFont="1" applyBorder="1" applyAlignment="1" applyProtection="1">
      <alignment horizontal="right" vertical="center"/>
      <protection locked="0"/>
    </xf>
    <xf numFmtId="0" fontId="8" fillId="0" borderId="43" xfId="0" applyFont="1" applyBorder="1" applyAlignment="1" applyProtection="1">
      <alignment horizontal="right" vertical="center"/>
    </xf>
    <xf numFmtId="0" fontId="8" fillId="0" borderId="55" xfId="0" applyFont="1" applyBorder="1" applyAlignment="1" applyProtection="1">
      <alignment horizontal="right" vertical="center"/>
      <protection locked="0"/>
    </xf>
    <xf numFmtId="167" fontId="15" fillId="0" borderId="94" xfId="0" applyNumberFormat="1" applyFont="1" applyBorder="1" applyAlignment="1" applyProtection="1">
      <alignment horizontal="center" vertical="center"/>
      <protection locked="0"/>
    </xf>
    <xf numFmtId="18" fontId="15" fillId="6" borderId="83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Border="1" applyAlignment="1" applyProtection="1">
      <alignment horizontal="center"/>
      <protection locked="0"/>
    </xf>
    <xf numFmtId="0" fontId="1" fillId="6" borderId="0" xfId="1" applyFont="1" applyFill="1" applyBorder="1" applyAlignment="1" applyProtection="1">
      <alignment horizontal="center" vertical="center" wrapText="1"/>
      <protection locked="0"/>
    </xf>
    <xf numFmtId="0" fontId="0" fillId="6" borderId="0" xfId="0" applyFill="1" applyBorder="1" applyAlignment="1" applyProtection="1">
      <alignment horizontal="left"/>
    </xf>
    <xf numFmtId="0" fontId="3" fillId="6" borderId="0" xfId="0" applyFont="1" applyFill="1" applyBorder="1" applyAlignment="1" applyProtection="1">
      <alignment horizontal="center" vertical="center" wrapText="1"/>
      <protection locked="0"/>
    </xf>
    <xf numFmtId="0" fontId="3" fillId="6" borderId="30" xfId="0" applyFont="1" applyFill="1" applyBorder="1" applyAlignment="1" applyProtection="1">
      <alignment horizontal="center" vertical="center" wrapText="1"/>
      <protection locked="0"/>
    </xf>
    <xf numFmtId="0" fontId="3" fillId="6" borderId="27" xfId="0" applyFont="1" applyFill="1" applyBorder="1" applyAlignment="1" applyProtection="1">
      <alignment horizontal="center" vertical="center" wrapText="1"/>
      <protection locked="0"/>
    </xf>
    <xf numFmtId="0" fontId="3" fillId="6" borderId="29" xfId="0" applyFont="1" applyFill="1" applyBorder="1" applyAlignment="1" applyProtection="1">
      <alignment horizontal="center" vertical="center" wrapText="1"/>
      <protection locked="0"/>
    </xf>
    <xf numFmtId="0" fontId="1" fillId="3" borderId="25" xfId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8" fillId="6" borderId="0" xfId="0" applyFont="1" applyFill="1" applyBorder="1" applyAlignment="1" applyProtection="1">
      <alignment horizontal="center"/>
      <protection locked="0"/>
    </xf>
    <xf numFmtId="0" fontId="0" fillId="6" borderId="0" xfId="0" applyFill="1" applyBorder="1" applyAlignment="1" applyProtection="1">
      <alignment horizontal="center" vertical="top"/>
      <protection locked="0"/>
    </xf>
    <xf numFmtId="0" fontId="2" fillId="6" borderId="0" xfId="0" applyFont="1" applyFill="1" applyBorder="1" applyAlignment="1" applyProtection="1">
      <alignment horizontal="center"/>
    </xf>
    <xf numFmtId="0" fontId="1" fillId="3" borderId="56" xfId="0" applyFont="1" applyFill="1" applyBorder="1" applyAlignment="1" applyProtection="1">
      <alignment horizontal="right" vertical="center"/>
      <protection locked="0"/>
    </xf>
    <xf numFmtId="0" fontId="1" fillId="3" borderId="57" xfId="0" applyFont="1" applyFill="1" applyBorder="1" applyAlignment="1" applyProtection="1">
      <alignment horizontal="right" vertical="center"/>
      <protection locked="0"/>
    </xf>
    <xf numFmtId="0" fontId="9" fillId="6" borderId="58" xfId="0" applyFont="1" applyFill="1" applyBorder="1" applyAlignment="1" applyProtection="1">
      <alignment horizontal="center"/>
      <protection locked="0"/>
    </xf>
    <xf numFmtId="0" fontId="9" fillId="6" borderId="40" xfId="0" applyFont="1" applyFill="1" applyBorder="1" applyAlignment="1" applyProtection="1">
      <alignment horizontal="center"/>
      <protection locked="0"/>
    </xf>
    <xf numFmtId="0" fontId="9" fillId="6" borderId="36" xfId="0" applyFont="1" applyFill="1" applyBorder="1" applyAlignment="1" applyProtection="1">
      <alignment horizontal="center"/>
      <protection locked="0"/>
    </xf>
    <xf numFmtId="0" fontId="9" fillId="6" borderId="32" xfId="0" applyFont="1" applyFill="1" applyBorder="1" applyAlignment="1" applyProtection="1">
      <alignment horizontal="center"/>
      <protection locked="0"/>
    </xf>
    <xf numFmtId="0" fontId="11" fillId="7" borderId="15" xfId="1" applyFont="1" applyFill="1" applyBorder="1" applyAlignment="1" applyProtection="1">
      <alignment horizontal="justify" vertical="justify" wrapText="1"/>
      <protection locked="0"/>
    </xf>
    <xf numFmtId="0" fontId="9" fillId="6" borderId="28" xfId="0" applyFont="1" applyFill="1" applyBorder="1" applyAlignment="1" applyProtection="1">
      <alignment horizontal="center"/>
      <protection locked="0"/>
    </xf>
    <xf numFmtId="0" fontId="9" fillId="6" borderId="35" xfId="0" applyFont="1" applyFill="1" applyBorder="1" applyAlignment="1" applyProtection="1">
      <alignment horizontal="center"/>
      <protection locked="0"/>
    </xf>
    <xf numFmtId="0" fontId="2" fillId="7" borderId="45" xfId="0" applyFont="1" applyFill="1" applyBorder="1" applyAlignment="1" applyProtection="1">
      <alignment horizontal="center"/>
      <protection locked="0"/>
    </xf>
    <xf numFmtId="0" fontId="2" fillId="7" borderId="50" xfId="0" applyFont="1" applyFill="1" applyBorder="1" applyAlignment="1" applyProtection="1">
      <alignment horizontal="center"/>
      <protection locked="0"/>
    </xf>
    <xf numFmtId="0" fontId="2" fillId="7" borderId="44" xfId="0" applyFont="1" applyFill="1" applyBorder="1" applyAlignment="1" applyProtection="1">
      <alignment horizontal="center"/>
    </xf>
    <xf numFmtId="0" fontId="2" fillId="7" borderId="49" xfId="0" applyFont="1" applyFill="1" applyBorder="1" applyAlignment="1" applyProtection="1">
      <alignment horizont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center" vertical="center" wrapText="1"/>
      <protection locked="0"/>
    </xf>
    <xf numFmtId="0" fontId="2" fillId="6" borderId="0" xfId="0" applyFont="1" applyFill="1" applyBorder="1" applyAlignment="1" applyProtection="1">
      <alignment horizontal="left"/>
      <protection locked="0"/>
    </xf>
    <xf numFmtId="0" fontId="2" fillId="7" borderId="43" xfId="0" applyFont="1" applyFill="1" applyBorder="1" applyAlignment="1" applyProtection="1">
      <alignment horizontal="center"/>
      <protection locked="0"/>
    </xf>
    <xf numFmtId="0" fontId="2" fillId="7" borderId="44" xfId="0" applyFont="1" applyFill="1" applyBorder="1" applyAlignment="1" applyProtection="1">
      <alignment horizontal="center"/>
      <protection locked="0"/>
    </xf>
    <xf numFmtId="165" fontId="7" fillId="0" borderId="51" xfId="0" applyNumberFormat="1" applyFont="1" applyBorder="1" applyAlignment="1" applyProtection="1">
      <alignment horizontal="center" vertical="center"/>
      <protection locked="0"/>
    </xf>
    <xf numFmtId="165" fontId="7" fillId="0" borderId="52" xfId="0" applyNumberFormat="1" applyFont="1" applyBorder="1" applyAlignment="1" applyProtection="1">
      <alignment horizontal="center" vertical="center"/>
      <protection locked="0"/>
    </xf>
    <xf numFmtId="165" fontId="7" fillId="0" borderId="53" xfId="0" applyNumberFormat="1" applyFont="1" applyBorder="1" applyAlignment="1" applyProtection="1">
      <alignment horizontal="center" vertical="center"/>
      <protection locked="0"/>
    </xf>
    <xf numFmtId="0" fontId="0" fillId="6" borderId="54" xfId="0" applyFill="1" applyBorder="1" applyAlignment="1" applyProtection="1">
      <alignment horizontal="center"/>
      <protection locked="0"/>
    </xf>
    <xf numFmtId="0" fontId="0" fillId="6" borderId="55" xfId="0" applyFill="1" applyBorder="1" applyAlignment="1" applyProtection="1">
      <alignment horizontal="center"/>
      <protection locked="0"/>
    </xf>
    <xf numFmtId="0" fontId="0" fillId="6" borderId="45" xfId="0" applyFill="1" applyBorder="1" applyAlignment="1" applyProtection="1">
      <alignment horizont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8" fillId="7" borderId="53" xfId="0" applyFont="1" applyFill="1" applyBorder="1" applyAlignment="1" applyProtection="1">
      <alignment horizontal="center"/>
      <protection locked="0"/>
    </xf>
    <xf numFmtId="0" fontId="8" fillId="7" borderId="48" xfId="0" applyFont="1" applyFill="1" applyBorder="1" applyAlignment="1" applyProtection="1">
      <alignment horizontal="center"/>
      <protection locked="0"/>
    </xf>
    <xf numFmtId="0" fontId="9" fillId="6" borderId="27" xfId="0" applyFont="1" applyFill="1" applyBorder="1" applyAlignment="1" applyProtection="1">
      <alignment horizontal="center"/>
      <protection locked="0"/>
    </xf>
    <xf numFmtId="0" fontId="9" fillId="6" borderId="31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0" fontId="12" fillId="3" borderId="18" xfId="0" applyFont="1" applyFill="1" applyBorder="1" applyAlignment="1" applyProtection="1">
      <alignment horizontal="center" vertical="center" wrapText="1"/>
      <protection locked="0"/>
    </xf>
    <xf numFmtId="0" fontId="9" fillId="6" borderId="64" xfId="0" applyFont="1" applyFill="1" applyBorder="1" applyAlignment="1" applyProtection="1">
      <alignment horizontal="center"/>
      <protection locked="0"/>
    </xf>
    <xf numFmtId="0" fontId="9" fillId="6" borderId="65" xfId="0" applyFont="1" applyFill="1" applyBorder="1" applyAlignment="1" applyProtection="1">
      <alignment horizontal="center"/>
      <protection locked="0"/>
    </xf>
    <xf numFmtId="0" fontId="9" fillId="6" borderId="39" xfId="0" applyFont="1" applyFill="1" applyBorder="1" applyAlignment="1" applyProtection="1">
      <alignment horizontal="center"/>
      <protection locked="0"/>
    </xf>
    <xf numFmtId="0" fontId="9" fillId="6" borderId="41" xfId="0" applyFont="1" applyFill="1" applyBorder="1" applyAlignment="1" applyProtection="1">
      <alignment horizontal="center"/>
      <protection locked="0"/>
    </xf>
    <xf numFmtId="0" fontId="9" fillId="6" borderId="69" xfId="0" applyFont="1" applyFill="1" applyBorder="1" applyAlignment="1" applyProtection="1">
      <alignment horizontal="center"/>
      <protection locked="0"/>
    </xf>
    <xf numFmtId="0" fontId="9" fillId="6" borderId="4" xfId="0" applyFont="1" applyFill="1" applyBorder="1" applyAlignment="1" applyProtection="1">
      <alignment horizontal="center"/>
      <protection locked="0"/>
    </xf>
    <xf numFmtId="0" fontId="11" fillId="6" borderId="59" xfId="1" applyFont="1" applyFill="1" applyBorder="1" applyAlignment="1" applyProtection="1">
      <alignment horizontal="center" vertical="justify" wrapText="1"/>
      <protection locked="0"/>
    </xf>
    <xf numFmtId="0" fontId="11" fillId="6" borderId="60" xfId="1" applyFont="1" applyFill="1" applyBorder="1" applyAlignment="1" applyProtection="1">
      <alignment horizontal="center" vertical="justify" wrapText="1"/>
      <protection locked="0"/>
    </xf>
    <xf numFmtId="0" fontId="11" fillId="6" borderId="38" xfId="1" applyFont="1" applyFill="1" applyBorder="1" applyAlignment="1" applyProtection="1">
      <alignment horizontal="center" vertical="justify" wrapText="1"/>
      <protection locked="0"/>
    </xf>
    <xf numFmtId="0" fontId="11" fillId="6" borderId="46" xfId="1" applyFont="1" applyFill="1" applyBorder="1" applyAlignment="1" applyProtection="1">
      <alignment horizontal="center" vertical="justify" wrapText="1"/>
      <protection locked="0"/>
    </xf>
    <xf numFmtId="0" fontId="11" fillId="6" borderId="28" xfId="1" applyFont="1" applyFill="1" applyBorder="1" applyAlignment="1" applyProtection="1">
      <alignment horizontal="center" vertical="justify" wrapText="1"/>
      <protection locked="0"/>
    </xf>
    <xf numFmtId="0" fontId="11" fillId="6" borderId="35" xfId="1" applyFont="1" applyFill="1" applyBorder="1" applyAlignment="1" applyProtection="1">
      <alignment horizontal="center" vertical="justify" wrapText="1"/>
      <protection locked="0"/>
    </xf>
    <xf numFmtId="0" fontId="1" fillId="3" borderId="85" xfId="0" applyFont="1" applyFill="1" applyBorder="1" applyAlignment="1" applyProtection="1">
      <alignment horizontal="right" vertical="center"/>
      <protection locked="0"/>
    </xf>
    <xf numFmtId="0" fontId="17" fillId="6" borderId="45" xfId="0" applyFont="1" applyFill="1" applyBorder="1" applyAlignment="1" applyProtection="1">
      <alignment horizontal="left" vertical="center"/>
      <protection locked="0"/>
    </xf>
    <xf numFmtId="0" fontId="17" fillId="6" borderId="50" xfId="0" applyFont="1" applyFill="1" applyBorder="1" applyAlignment="1" applyProtection="1">
      <alignment horizontal="left" vertical="center"/>
      <protection locked="0"/>
    </xf>
    <xf numFmtId="0" fontId="1" fillId="3" borderId="72" xfId="0" applyFont="1" applyFill="1" applyBorder="1" applyAlignment="1" applyProtection="1">
      <alignment horizontal="center" vertical="center"/>
      <protection locked="0"/>
    </xf>
    <xf numFmtId="0" fontId="1" fillId="3" borderId="71" xfId="0" applyFont="1" applyFill="1" applyBorder="1" applyAlignment="1" applyProtection="1">
      <alignment horizontal="center" vertical="center"/>
      <protection locked="0"/>
    </xf>
    <xf numFmtId="0" fontId="1" fillId="3" borderId="89" xfId="0" applyFont="1" applyFill="1" applyBorder="1" applyAlignment="1" applyProtection="1">
      <alignment horizontal="center" vertical="center"/>
      <protection locked="0"/>
    </xf>
    <xf numFmtId="0" fontId="9" fillId="6" borderId="73" xfId="0" applyFont="1" applyFill="1" applyBorder="1" applyAlignment="1" applyProtection="1">
      <alignment horizontal="center"/>
      <protection locked="0"/>
    </xf>
    <xf numFmtId="0" fontId="9" fillId="6" borderId="74" xfId="0" applyFont="1" applyFill="1" applyBorder="1" applyAlignment="1" applyProtection="1">
      <alignment horizontal="center"/>
      <protection locked="0"/>
    </xf>
    <xf numFmtId="0" fontId="9" fillId="6" borderId="75" xfId="0" applyFont="1" applyFill="1" applyBorder="1" applyAlignment="1" applyProtection="1">
      <alignment horizontal="center"/>
      <protection locked="0"/>
    </xf>
    <xf numFmtId="0" fontId="9" fillId="6" borderId="76" xfId="0" applyFont="1" applyFill="1" applyBorder="1" applyAlignment="1" applyProtection="1">
      <alignment horizontal="center"/>
      <protection locked="0"/>
    </xf>
    <xf numFmtId="0" fontId="17" fillId="6" borderId="44" xfId="0" applyFont="1" applyFill="1" applyBorder="1" applyAlignment="1" applyProtection="1">
      <alignment horizontal="left" vertical="center"/>
    </xf>
    <xf numFmtId="0" fontId="17" fillId="6" borderId="49" xfId="0" applyFont="1" applyFill="1" applyBorder="1" applyAlignment="1" applyProtection="1">
      <alignment horizontal="left" vertical="center"/>
    </xf>
    <xf numFmtId="0" fontId="17" fillId="6" borderId="43" xfId="0" applyFont="1" applyFill="1" applyBorder="1" applyAlignment="1" applyProtection="1">
      <alignment horizontal="left" vertical="center"/>
      <protection locked="0"/>
    </xf>
    <xf numFmtId="0" fontId="17" fillId="6" borderId="44" xfId="0" applyFont="1" applyFill="1" applyBorder="1" applyAlignment="1" applyProtection="1">
      <alignment horizontal="left" vertical="center"/>
      <protection locked="0"/>
    </xf>
    <xf numFmtId="0" fontId="1" fillId="3" borderId="66" xfId="0" applyFont="1" applyFill="1" applyBorder="1" applyAlignment="1" applyProtection="1">
      <alignment horizontal="right" vertical="center"/>
      <protection locked="0"/>
    </xf>
    <xf numFmtId="0" fontId="1" fillId="3" borderId="67" xfId="0" applyFont="1" applyFill="1" applyBorder="1" applyAlignment="1" applyProtection="1">
      <alignment horizontal="right" vertical="center"/>
      <protection locked="0"/>
    </xf>
    <xf numFmtId="0" fontId="16" fillId="6" borderId="79" xfId="0" applyFont="1" applyFill="1" applyBorder="1" applyAlignment="1" applyProtection="1">
      <alignment horizontal="left" vertical="center"/>
      <protection locked="0"/>
    </xf>
    <xf numFmtId="0" fontId="16" fillId="6" borderId="48" xfId="0" applyFont="1" applyFill="1" applyBorder="1" applyAlignment="1" applyProtection="1">
      <alignment horizontal="left" vertical="center"/>
      <protection locked="0"/>
    </xf>
    <xf numFmtId="0" fontId="13" fillId="3" borderId="78" xfId="0" applyFont="1" applyFill="1" applyBorder="1" applyAlignment="1" applyProtection="1">
      <alignment horizontal="center" vertical="center"/>
      <protection locked="0"/>
    </xf>
    <xf numFmtId="0" fontId="13" fillId="3" borderId="77" xfId="0" applyFont="1" applyFill="1" applyBorder="1" applyAlignment="1" applyProtection="1">
      <alignment horizontal="center" vertical="center"/>
      <protection locked="0"/>
    </xf>
    <xf numFmtId="0" fontId="13" fillId="3" borderId="80" xfId="0" applyFont="1" applyFill="1" applyBorder="1" applyAlignment="1" applyProtection="1">
      <alignment horizontal="center" vertical="center"/>
      <protection locked="0"/>
    </xf>
    <xf numFmtId="0" fontId="13" fillId="3" borderId="98" xfId="0" applyFont="1" applyFill="1" applyBorder="1" applyAlignment="1" applyProtection="1">
      <alignment horizontal="right" vertical="center" wrapText="1"/>
      <protection locked="0"/>
    </xf>
    <xf numFmtId="0" fontId="13" fillId="3" borderId="81" xfId="0" applyFont="1" applyFill="1" applyBorder="1" applyAlignment="1" applyProtection="1">
      <alignment horizontal="right" vertical="center" wrapText="1"/>
      <protection locked="0"/>
    </xf>
    <xf numFmtId="0" fontId="13" fillId="3" borderId="96" xfId="0" applyFont="1" applyFill="1" applyBorder="1" applyAlignment="1" applyProtection="1">
      <alignment horizontal="right" vertical="center" wrapText="1"/>
      <protection locked="0"/>
    </xf>
    <xf numFmtId="0" fontId="13" fillId="3" borderId="97" xfId="0" applyFont="1" applyFill="1" applyBorder="1" applyAlignment="1" applyProtection="1">
      <alignment horizontal="right" vertical="center" wrapText="1"/>
      <protection locked="0"/>
    </xf>
    <xf numFmtId="165" fontId="7" fillId="0" borderId="93" xfId="0" applyNumberFormat="1" applyFont="1" applyBorder="1" applyAlignment="1" applyProtection="1">
      <alignment horizontal="center" vertical="center"/>
      <protection locked="0"/>
    </xf>
    <xf numFmtId="165" fontId="7" fillId="0" borderId="95" xfId="0" applyNumberFormat="1" applyFont="1" applyBorder="1" applyAlignment="1" applyProtection="1">
      <alignment horizontal="center" vertical="center"/>
      <protection locked="0"/>
    </xf>
    <xf numFmtId="0" fontId="0" fillId="6" borderId="99" xfId="0" applyFill="1" applyBorder="1" applyAlignment="1" applyProtection="1">
      <alignment horizontal="center"/>
      <protection locked="0"/>
    </xf>
    <xf numFmtId="0" fontId="11" fillId="6" borderId="61" xfId="1" applyFont="1" applyFill="1" applyBorder="1" applyAlignment="1" applyProtection="1">
      <alignment horizontal="center" vertical="justify" wrapText="1"/>
      <protection locked="0"/>
    </xf>
    <xf numFmtId="0" fontId="11" fillId="6" borderId="39" xfId="1" applyFont="1" applyFill="1" applyBorder="1" applyAlignment="1" applyProtection="1">
      <alignment horizontal="center" vertical="justify" wrapText="1"/>
      <protection locked="0"/>
    </xf>
    <xf numFmtId="0" fontId="11" fillId="6" borderId="41" xfId="1" applyFont="1" applyFill="1" applyBorder="1" applyAlignment="1" applyProtection="1">
      <alignment horizontal="center" vertical="justify" wrapText="1"/>
      <protection locked="0"/>
    </xf>
    <xf numFmtId="0" fontId="1" fillId="3" borderId="12" xfId="1" applyFont="1" applyFill="1" applyBorder="1" applyAlignment="1">
      <alignment horizontal="center" vertical="center" wrapText="1"/>
    </xf>
    <xf numFmtId="0" fontId="1" fillId="3" borderId="13" xfId="1" applyFont="1" applyFill="1" applyBorder="1" applyAlignment="1">
      <alignment horizontal="center" vertical="center" wrapText="1"/>
    </xf>
    <xf numFmtId="0" fontId="1" fillId="3" borderId="14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3" borderId="10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7">
    <dxf>
      <fill>
        <patternFill>
          <bgColor rgb="FFFFF0C1"/>
        </patternFill>
      </fill>
    </dxf>
    <dxf>
      <fill>
        <patternFill>
          <bgColor rgb="FFFFF0C1"/>
        </patternFill>
      </fill>
    </dxf>
    <dxf>
      <numFmt numFmtId="166" formatCode="[$-409]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fill>
        <patternFill patternType="solid">
          <fgColor indexed="64"/>
          <bgColor rgb="FF00AEAA"/>
        </patternFill>
      </fill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00928F"/>
      <color rgb="FF00AEAA"/>
      <color rgb="FF273246"/>
      <color rgb="FFE8E8E8"/>
      <color rgb="FFCDFFFE"/>
      <color rgb="FF00FEF8"/>
      <color rgb="FF69F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100854</xdr:rowOff>
    </xdr:from>
    <xdr:to>
      <xdr:col>1</xdr:col>
      <xdr:colOff>974912</xdr:colOff>
      <xdr:row>4</xdr:row>
      <xdr:rowOff>201705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0" y="100854"/>
          <a:ext cx="1759324" cy="773204"/>
        </a:xfrm>
        <a:prstGeom prst="rect">
          <a:avLst/>
        </a:prstGeom>
      </xdr:spPr>
    </xdr:pic>
    <xdr:clientData/>
  </xdr:twoCellAnchor>
  <xdr:twoCellAnchor>
    <xdr:from>
      <xdr:col>2</xdr:col>
      <xdr:colOff>499110</xdr:colOff>
      <xdr:row>35</xdr:row>
      <xdr:rowOff>0</xdr:rowOff>
    </xdr:from>
    <xdr:to>
      <xdr:col>2</xdr:col>
      <xdr:colOff>508339</xdr:colOff>
      <xdr:row>36</xdr:row>
      <xdr:rowOff>21526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269639" y="9893238"/>
          <a:ext cx="9229" cy="292023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874106</xdr:colOff>
      <xdr:row>35</xdr:row>
      <xdr:rowOff>0</xdr:rowOff>
    </xdr:from>
    <xdr:to>
      <xdr:col>4</xdr:col>
      <xdr:colOff>879811</xdr:colOff>
      <xdr:row>36</xdr:row>
      <xdr:rowOff>8622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341331" y="11144701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35</xdr:row>
      <xdr:rowOff>0</xdr:rowOff>
    </xdr:from>
    <xdr:to>
      <xdr:col>7</xdr:col>
      <xdr:colOff>38100</xdr:colOff>
      <xdr:row>36</xdr:row>
      <xdr:rowOff>19050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915025" y="11153775"/>
          <a:ext cx="13525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FIRMA DE PAÑOL </a:t>
          </a:r>
        </a:p>
      </xdr:txBody>
    </xdr:sp>
    <xdr:clientData/>
  </xdr:twoCellAnchor>
  <xdr:twoCellAnchor>
    <xdr:from>
      <xdr:col>2</xdr:col>
      <xdr:colOff>971550</xdr:colOff>
      <xdr:row>35</xdr:row>
      <xdr:rowOff>0</xdr:rowOff>
    </xdr:from>
    <xdr:to>
      <xdr:col>4</xdr:col>
      <xdr:colOff>685800</xdr:colOff>
      <xdr:row>36</xdr:row>
      <xdr:rowOff>9525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133725" y="9753600"/>
          <a:ext cx="18288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FIRMA</a:t>
          </a:r>
          <a:r>
            <a:rPr lang="es-MX" sz="1200" b="1" baseline="0">
              <a:solidFill>
                <a:schemeClr val="bg1"/>
              </a:solidFill>
            </a:rPr>
            <a:t> DE SUPERVISOR</a:t>
          </a:r>
          <a:endParaRPr lang="es-MX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132228</xdr:colOff>
      <xdr:row>35</xdr:row>
      <xdr:rowOff>0</xdr:rowOff>
    </xdr:from>
    <xdr:to>
      <xdr:col>2</xdr:col>
      <xdr:colOff>291352</xdr:colOff>
      <xdr:row>36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32228" y="9917206"/>
          <a:ext cx="1929653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FIRMA</a:t>
          </a:r>
          <a:r>
            <a:rPr lang="es-MX" sz="1200" b="1" baseline="0">
              <a:solidFill>
                <a:schemeClr val="bg1"/>
              </a:solidFill>
            </a:rPr>
            <a:t> DE EMPLEADO</a:t>
          </a:r>
          <a:endParaRPr lang="es-MX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6164</xdr:colOff>
      <xdr:row>36</xdr:row>
      <xdr:rowOff>0</xdr:rowOff>
    </xdr:from>
    <xdr:to>
      <xdr:col>2</xdr:col>
      <xdr:colOff>493059</xdr:colOff>
      <xdr:row>41</xdr:row>
      <xdr:rowOff>123265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164" y="8953500"/>
          <a:ext cx="2257424" cy="918883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528639</xdr:colOff>
      <xdr:row>36</xdr:row>
      <xdr:rowOff>0</xdr:rowOff>
    </xdr:from>
    <xdr:to>
      <xdr:col>4</xdr:col>
      <xdr:colOff>852489</xdr:colOff>
      <xdr:row>41</xdr:row>
      <xdr:rowOff>125507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299168" y="8807824"/>
          <a:ext cx="3304615" cy="921124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896471</xdr:colOff>
      <xdr:row>36</xdr:row>
      <xdr:rowOff>2801</xdr:rowOff>
    </xdr:from>
    <xdr:to>
      <xdr:col>7</xdr:col>
      <xdr:colOff>212911</xdr:colOff>
      <xdr:row>41</xdr:row>
      <xdr:rowOff>123825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647765" y="10166536"/>
          <a:ext cx="2319617" cy="916642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874106</xdr:colOff>
      <xdr:row>65</xdr:row>
      <xdr:rowOff>190951</xdr:rowOff>
    </xdr:from>
    <xdr:to>
      <xdr:col>4</xdr:col>
      <xdr:colOff>879811</xdr:colOff>
      <xdr:row>67</xdr:row>
      <xdr:rowOff>8622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5341331" y="5182051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9</xdr:row>
          <xdr:rowOff>279400</xdr:rowOff>
        </xdr:from>
        <xdr:to>
          <xdr:col>12</xdr:col>
          <xdr:colOff>336550</xdr:colOff>
          <xdr:row>10</xdr:row>
          <xdr:rowOff>298450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216596</xdr:rowOff>
    </xdr:from>
    <xdr:to>
      <xdr:col>2</xdr:col>
      <xdr:colOff>69273</xdr:colOff>
      <xdr:row>3</xdr:row>
      <xdr:rowOff>58640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0" y="216596"/>
          <a:ext cx="2231448" cy="804069"/>
        </a:xfrm>
        <a:prstGeom prst="rect">
          <a:avLst/>
        </a:prstGeom>
      </xdr:spPr>
    </xdr:pic>
    <xdr:clientData/>
  </xdr:twoCellAnchor>
  <xdr:twoCellAnchor>
    <xdr:from>
      <xdr:col>2</xdr:col>
      <xdr:colOff>499110</xdr:colOff>
      <xdr:row>45</xdr:row>
      <xdr:rowOff>0</xdr:rowOff>
    </xdr:from>
    <xdr:to>
      <xdr:col>2</xdr:col>
      <xdr:colOff>508339</xdr:colOff>
      <xdr:row>46</xdr:row>
      <xdr:rowOff>21526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270760" y="8591550"/>
          <a:ext cx="9229" cy="364426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874106</xdr:colOff>
      <xdr:row>45</xdr:row>
      <xdr:rowOff>8659</xdr:rowOff>
    </xdr:from>
    <xdr:to>
      <xdr:col>4</xdr:col>
      <xdr:colOff>879811</xdr:colOff>
      <xdr:row>46</xdr:row>
      <xdr:rowOff>17281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5879061" y="10780568"/>
          <a:ext cx="5705" cy="354986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45</xdr:row>
      <xdr:rowOff>0</xdr:rowOff>
    </xdr:from>
    <xdr:to>
      <xdr:col>7</xdr:col>
      <xdr:colOff>38100</xdr:colOff>
      <xdr:row>46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153150" y="8591550"/>
          <a:ext cx="1657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bg1"/>
              </a:solidFill>
            </a:rPr>
            <a:t>FIRMA DE PAÑOL </a:t>
          </a:r>
        </a:p>
      </xdr:txBody>
    </xdr:sp>
    <xdr:clientData/>
  </xdr:twoCellAnchor>
  <xdr:twoCellAnchor>
    <xdr:from>
      <xdr:col>2</xdr:col>
      <xdr:colOff>971550</xdr:colOff>
      <xdr:row>45</xdr:row>
      <xdr:rowOff>0</xdr:rowOff>
    </xdr:from>
    <xdr:to>
      <xdr:col>4</xdr:col>
      <xdr:colOff>685800</xdr:colOff>
      <xdr:row>46</xdr:row>
      <xdr:rowOff>9525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743200" y="8591550"/>
          <a:ext cx="27051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bg1"/>
              </a:solidFill>
            </a:rPr>
            <a:t>FIRMA</a:t>
          </a:r>
          <a:r>
            <a:rPr lang="es-MX" sz="1100" b="1" baseline="0">
              <a:solidFill>
                <a:schemeClr val="bg1"/>
              </a:solidFill>
            </a:rPr>
            <a:t> DE SUPERVISOR</a:t>
          </a:r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132228</xdr:colOff>
      <xdr:row>45</xdr:row>
      <xdr:rowOff>0</xdr:rowOff>
    </xdr:from>
    <xdr:to>
      <xdr:col>2</xdr:col>
      <xdr:colOff>291352</xdr:colOff>
      <xdr:row>46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32228" y="8591550"/>
          <a:ext cx="1930774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bg1"/>
              </a:solidFill>
            </a:rPr>
            <a:t>FIRMA</a:t>
          </a:r>
          <a:r>
            <a:rPr lang="es-MX" sz="1100" b="1" baseline="0">
              <a:solidFill>
                <a:schemeClr val="bg1"/>
              </a:solidFill>
            </a:rPr>
            <a:t> DE EMPLEADO</a:t>
          </a:r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6164</xdr:colOff>
      <xdr:row>46</xdr:row>
      <xdr:rowOff>0</xdr:rowOff>
    </xdr:from>
    <xdr:to>
      <xdr:col>2</xdr:col>
      <xdr:colOff>493059</xdr:colOff>
      <xdr:row>51</xdr:row>
      <xdr:rowOff>123265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164" y="11134725"/>
          <a:ext cx="2649070" cy="92336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528639</xdr:colOff>
      <xdr:row>46</xdr:row>
      <xdr:rowOff>0</xdr:rowOff>
    </xdr:from>
    <xdr:to>
      <xdr:col>4</xdr:col>
      <xdr:colOff>852489</xdr:colOff>
      <xdr:row>51</xdr:row>
      <xdr:rowOff>125507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300289" y="8934450"/>
          <a:ext cx="3314700" cy="925607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876341</xdr:colOff>
      <xdr:row>46</xdr:row>
      <xdr:rowOff>10111</xdr:rowOff>
    </xdr:from>
    <xdr:to>
      <xdr:col>7</xdr:col>
      <xdr:colOff>313609</xdr:colOff>
      <xdr:row>51</xdr:row>
      <xdr:rowOff>123339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881296" y="11119725"/>
          <a:ext cx="2329404" cy="918523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874106</xdr:colOff>
      <xdr:row>75</xdr:row>
      <xdr:rowOff>190951</xdr:rowOff>
    </xdr:from>
    <xdr:to>
      <xdr:col>4</xdr:col>
      <xdr:colOff>879811</xdr:colOff>
      <xdr:row>77</xdr:row>
      <xdr:rowOff>8622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5636606" y="14545126"/>
          <a:ext cx="5705" cy="246296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</xdr:row>
          <xdr:rowOff>298450</xdr:rowOff>
        </xdr:from>
        <xdr:to>
          <xdr:col>6</xdr:col>
          <xdr:colOff>88900</xdr:colOff>
          <xdr:row>7</xdr:row>
          <xdr:rowOff>19050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7</xdr:row>
          <xdr:rowOff>0</xdr:rowOff>
        </xdr:from>
        <xdr:to>
          <xdr:col>6</xdr:col>
          <xdr:colOff>88900</xdr:colOff>
          <xdr:row>8</xdr:row>
          <xdr:rowOff>19050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1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8</xdr:row>
          <xdr:rowOff>0</xdr:rowOff>
        </xdr:from>
        <xdr:to>
          <xdr:col>6</xdr:col>
          <xdr:colOff>88900</xdr:colOff>
          <xdr:row>9</xdr:row>
          <xdr:rowOff>19050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1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12700</xdr:rowOff>
        </xdr:from>
        <xdr:to>
          <xdr:col>6</xdr:col>
          <xdr:colOff>88900</xdr:colOff>
          <xdr:row>10</xdr:row>
          <xdr:rowOff>19050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1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6</xdr:row>
          <xdr:rowOff>12700</xdr:rowOff>
        </xdr:from>
        <xdr:to>
          <xdr:col>7</xdr:col>
          <xdr:colOff>336550</xdr:colOff>
          <xdr:row>7</xdr:row>
          <xdr:rowOff>31750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1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7</xdr:row>
          <xdr:rowOff>12700</xdr:rowOff>
        </xdr:from>
        <xdr:to>
          <xdr:col>7</xdr:col>
          <xdr:colOff>323850</xdr:colOff>
          <xdr:row>8</xdr:row>
          <xdr:rowOff>31750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1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9</xdr:row>
          <xdr:rowOff>12700</xdr:rowOff>
        </xdr:from>
        <xdr:to>
          <xdr:col>7</xdr:col>
          <xdr:colOff>336550</xdr:colOff>
          <xdr:row>10</xdr:row>
          <xdr:rowOff>31750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1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8</xdr:row>
          <xdr:rowOff>12700</xdr:rowOff>
        </xdr:from>
        <xdr:to>
          <xdr:col>7</xdr:col>
          <xdr:colOff>336550</xdr:colOff>
          <xdr:row>9</xdr:row>
          <xdr:rowOff>31750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1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33618</xdr:rowOff>
    </xdr:from>
    <xdr:to>
      <xdr:col>2</xdr:col>
      <xdr:colOff>8573</xdr:colOff>
      <xdr:row>4</xdr:row>
      <xdr:rowOff>309843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0" y="33618"/>
          <a:ext cx="2170748" cy="819150"/>
        </a:xfrm>
        <a:prstGeom prst="rect">
          <a:avLst/>
        </a:prstGeom>
      </xdr:spPr>
    </xdr:pic>
    <xdr:clientData/>
  </xdr:twoCellAnchor>
  <xdr:twoCellAnchor>
    <xdr:from>
      <xdr:col>2</xdr:col>
      <xdr:colOff>499110</xdr:colOff>
      <xdr:row>27</xdr:row>
      <xdr:rowOff>188944</xdr:rowOff>
    </xdr:from>
    <xdr:to>
      <xdr:col>2</xdr:col>
      <xdr:colOff>508339</xdr:colOff>
      <xdr:row>29</xdr:row>
      <xdr:rowOff>55144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661285" y="5227669"/>
          <a:ext cx="9229" cy="30435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874106</xdr:colOff>
      <xdr:row>27</xdr:row>
      <xdr:rowOff>190951</xdr:rowOff>
    </xdr:from>
    <xdr:to>
      <xdr:col>4</xdr:col>
      <xdr:colOff>879811</xdr:colOff>
      <xdr:row>29</xdr:row>
      <xdr:rowOff>8622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5341331" y="5229676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28</xdr:row>
      <xdr:rowOff>0</xdr:rowOff>
    </xdr:from>
    <xdr:to>
      <xdr:col>7</xdr:col>
      <xdr:colOff>38100</xdr:colOff>
      <xdr:row>29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15025" y="5238750"/>
          <a:ext cx="13525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AUTORIZO</a:t>
          </a:r>
        </a:p>
      </xdr:txBody>
    </xdr:sp>
    <xdr:clientData/>
  </xdr:twoCellAnchor>
  <xdr:twoCellAnchor>
    <xdr:from>
      <xdr:col>3</xdr:col>
      <xdr:colOff>152400</xdr:colOff>
      <xdr:row>28</xdr:row>
      <xdr:rowOff>0</xdr:rowOff>
    </xdr:from>
    <xdr:to>
      <xdr:col>4</xdr:col>
      <xdr:colOff>190500</xdr:colOff>
      <xdr:row>29</xdr:row>
      <xdr:rowOff>19050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429000" y="5238750"/>
          <a:ext cx="1228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ENTREGADO</a:t>
          </a:r>
        </a:p>
      </xdr:txBody>
    </xdr:sp>
    <xdr:clientData/>
  </xdr:twoCellAnchor>
  <xdr:twoCellAnchor>
    <xdr:from>
      <xdr:col>0</xdr:col>
      <xdr:colOff>514350</xdr:colOff>
      <xdr:row>28</xdr:row>
      <xdr:rowOff>0</xdr:rowOff>
    </xdr:from>
    <xdr:to>
      <xdr:col>2</xdr:col>
      <xdr:colOff>142874</xdr:colOff>
      <xdr:row>29</xdr:row>
      <xdr:rowOff>19050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14350" y="5238750"/>
          <a:ext cx="17906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RECIBIDO</a:t>
          </a:r>
        </a:p>
      </xdr:txBody>
    </xdr:sp>
    <xdr:clientData/>
  </xdr:twoCellAnchor>
  <xdr:twoCellAnchor>
    <xdr:from>
      <xdr:col>0</xdr:col>
      <xdr:colOff>19051</xdr:colOff>
      <xdr:row>28</xdr:row>
      <xdr:rowOff>238124</xdr:rowOff>
    </xdr:from>
    <xdr:to>
      <xdr:col>2</xdr:col>
      <xdr:colOff>485776</xdr:colOff>
      <xdr:row>30</xdr:row>
      <xdr:rowOff>171449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9051" y="5476874"/>
          <a:ext cx="2628900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528639</xdr:colOff>
      <xdr:row>28</xdr:row>
      <xdr:rowOff>238124</xdr:rowOff>
    </xdr:from>
    <xdr:to>
      <xdr:col>4</xdr:col>
      <xdr:colOff>852489</xdr:colOff>
      <xdr:row>30</xdr:row>
      <xdr:rowOff>171449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690814" y="5476874"/>
          <a:ext cx="2628900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895351</xdr:colOff>
      <xdr:row>28</xdr:row>
      <xdr:rowOff>238124</xdr:rowOff>
    </xdr:from>
    <xdr:to>
      <xdr:col>7</xdr:col>
      <xdr:colOff>762001</xdr:colOff>
      <xdr:row>30</xdr:row>
      <xdr:rowOff>171449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5362576" y="5476874"/>
          <a:ext cx="2628900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499377</xdr:colOff>
      <xdr:row>59</xdr:row>
      <xdr:rowOff>193957</xdr:rowOff>
    </xdr:from>
    <xdr:to>
      <xdr:col>2</xdr:col>
      <xdr:colOff>506329</xdr:colOff>
      <xdr:row>61</xdr:row>
      <xdr:rowOff>5013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661552" y="11233432"/>
          <a:ext cx="6952" cy="249206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874106</xdr:colOff>
      <xdr:row>59</xdr:row>
      <xdr:rowOff>190951</xdr:rowOff>
    </xdr:from>
    <xdr:to>
      <xdr:col>4</xdr:col>
      <xdr:colOff>879811</xdr:colOff>
      <xdr:row>61</xdr:row>
      <xdr:rowOff>8622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5341331" y="11230426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60</xdr:row>
      <xdr:rowOff>0</xdr:rowOff>
    </xdr:from>
    <xdr:to>
      <xdr:col>7</xdr:col>
      <xdr:colOff>38100</xdr:colOff>
      <xdr:row>61</xdr:row>
      <xdr:rowOff>19050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15025" y="11239500"/>
          <a:ext cx="13525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AUTORIZO</a:t>
          </a:r>
        </a:p>
      </xdr:txBody>
    </xdr:sp>
    <xdr:clientData/>
  </xdr:twoCellAnchor>
  <xdr:twoCellAnchor>
    <xdr:from>
      <xdr:col>3</xdr:col>
      <xdr:colOff>152400</xdr:colOff>
      <xdr:row>60</xdr:row>
      <xdr:rowOff>0</xdr:rowOff>
    </xdr:from>
    <xdr:to>
      <xdr:col>4</xdr:col>
      <xdr:colOff>190500</xdr:colOff>
      <xdr:row>61</xdr:row>
      <xdr:rowOff>19050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3429000" y="11239500"/>
          <a:ext cx="1228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ENTREGADO</a:t>
          </a:r>
        </a:p>
      </xdr:txBody>
    </xdr:sp>
    <xdr:clientData/>
  </xdr:twoCellAnchor>
  <xdr:twoCellAnchor>
    <xdr:from>
      <xdr:col>0</xdr:col>
      <xdr:colOff>514350</xdr:colOff>
      <xdr:row>60</xdr:row>
      <xdr:rowOff>0</xdr:rowOff>
    </xdr:from>
    <xdr:to>
      <xdr:col>2</xdr:col>
      <xdr:colOff>142874</xdr:colOff>
      <xdr:row>61</xdr:row>
      <xdr:rowOff>19050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14350" y="11239500"/>
          <a:ext cx="17906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RECIBIDOI</a:t>
          </a:r>
        </a:p>
        <a:p>
          <a:pPr algn="ctr"/>
          <a:endParaRPr lang="es-MX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19051</xdr:colOff>
      <xdr:row>60</xdr:row>
      <xdr:rowOff>238124</xdr:rowOff>
    </xdr:from>
    <xdr:to>
      <xdr:col>2</xdr:col>
      <xdr:colOff>485776</xdr:colOff>
      <xdr:row>62</xdr:row>
      <xdr:rowOff>171449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9051" y="11477624"/>
          <a:ext cx="2628900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528639</xdr:colOff>
      <xdr:row>61</xdr:row>
      <xdr:rowOff>2801</xdr:rowOff>
    </xdr:from>
    <xdr:to>
      <xdr:col>4</xdr:col>
      <xdr:colOff>852489</xdr:colOff>
      <xdr:row>62</xdr:row>
      <xdr:rowOff>171449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690814" y="11480426"/>
          <a:ext cx="2628900" cy="425823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895351</xdr:colOff>
      <xdr:row>60</xdr:row>
      <xdr:rowOff>238124</xdr:rowOff>
    </xdr:from>
    <xdr:to>
      <xdr:col>7</xdr:col>
      <xdr:colOff>762001</xdr:colOff>
      <xdr:row>62</xdr:row>
      <xdr:rowOff>171449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62576" y="11477624"/>
          <a:ext cx="2628900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56030</xdr:colOff>
      <xdr:row>32</xdr:row>
      <xdr:rowOff>33618</xdr:rowOff>
    </xdr:from>
    <xdr:to>
      <xdr:col>2</xdr:col>
      <xdr:colOff>64603</xdr:colOff>
      <xdr:row>36</xdr:row>
      <xdr:rowOff>298637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56030" y="6015318"/>
          <a:ext cx="2170748" cy="8269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75248</xdr:colOff>
      <xdr:row>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0" y="66675"/>
          <a:ext cx="2170748" cy="819150"/>
        </a:xfrm>
        <a:prstGeom prst="rect">
          <a:avLst/>
        </a:prstGeom>
      </xdr:spPr>
    </xdr:pic>
    <xdr:clientData/>
  </xdr:twoCellAnchor>
  <xdr:twoCellAnchor>
    <xdr:from>
      <xdr:col>2</xdr:col>
      <xdr:colOff>405869</xdr:colOff>
      <xdr:row>27</xdr:row>
      <xdr:rowOff>188944</xdr:rowOff>
    </xdr:from>
    <xdr:to>
      <xdr:col>2</xdr:col>
      <xdr:colOff>411574</xdr:colOff>
      <xdr:row>29</xdr:row>
      <xdr:rowOff>6615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501369" y="5180044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350231</xdr:colOff>
      <xdr:row>27</xdr:row>
      <xdr:rowOff>190951</xdr:rowOff>
    </xdr:from>
    <xdr:to>
      <xdr:col>4</xdr:col>
      <xdr:colOff>355936</xdr:colOff>
      <xdr:row>29</xdr:row>
      <xdr:rowOff>8622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4750781" y="5182051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28</xdr:row>
      <xdr:rowOff>0</xdr:rowOff>
    </xdr:from>
    <xdr:to>
      <xdr:col>1</xdr:col>
      <xdr:colOff>476250</xdr:colOff>
      <xdr:row>29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3875" y="5191125"/>
          <a:ext cx="1285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AUTORIZO</a:t>
          </a:r>
        </a:p>
      </xdr:txBody>
    </xdr:sp>
    <xdr:clientData/>
  </xdr:twoCellAnchor>
  <xdr:twoCellAnchor>
    <xdr:from>
      <xdr:col>2</xdr:col>
      <xdr:colOff>847725</xdr:colOff>
      <xdr:row>28</xdr:row>
      <xdr:rowOff>0</xdr:rowOff>
    </xdr:from>
    <xdr:to>
      <xdr:col>3</xdr:col>
      <xdr:colOff>962025</xdr:colOff>
      <xdr:row>29</xdr:row>
      <xdr:rowOff>19050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2943225" y="5191125"/>
          <a:ext cx="1228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ENTREGADO</a:t>
          </a:r>
        </a:p>
      </xdr:txBody>
    </xdr:sp>
    <xdr:clientData/>
  </xdr:twoCellAnchor>
  <xdr:twoCellAnchor>
    <xdr:from>
      <xdr:col>6</xdr:col>
      <xdr:colOff>38100</xdr:colOff>
      <xdr:row>28</xdr:row>
      <xdr:rowOff>0</xdr:rowOff>
    </xdr:from>
    <xdr:to>
      <xdr:col>7</xdr:col>
      <xdr:colOff>180975</xdr:colOff>
      <xdr:row>29</xdr:row>
      <xdr:rowOff>19050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791200" y="5191125"/>
          <a:ext cx="933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RECIBE</a:t>
          </a:r>
        </a:p>
      </xdr:txBody>
    </xdr:sp>
    <xdr:clientData/>
  </xdr:twoCellAnchor>
  <xdr:twoCellAnchor>
    <xdr:from>
      <xdr:col>0</xdr:col>
      <xdr:colOff>19050</xdr:colOff>
      <xdr:row>28</xdr:row>
      <xdr:rowOff>304799</xdr:rowOff>
    </xdr:from>
    <xdr:to>
      <xdr:col>2</xdr:col>
      <xdr:colOff>390526</xdr:colOff>
      <xdr:row>30</xdr:row>
      <xdr:rowOff>171449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9050" y="5429249"/>
          <a:ext cx="2466976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419099</xdr:colOff>
      <xdr:row>28</xdr:row>
      <xdr:rowOff>304799</xdr:rowOff>
    </xdr:from>
    <xdr:to>
      <xdr:col>4</xdr:col>
      <xdr:colOff>333374</xdr:colOff>
      <xdr:row>30</xdr:row>
      <xdr:rowOff>171449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514599" y="5429249"/>
          <a:ext cx="2219325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361950</xdr:colOff>
      <xdr:row>28</xdr:row>
      <xdr:rowOff>304799</xdr:rowOff>
    </xdr:from>
    <xdr:to>
      <xdr:col>7</xdr:col>
      <xdr:colOff>771526</xdr:colOff>
      <xdr:row>30</xdr:row>
      <xdr:rowOff>171449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762500" y="5429249"/>
          <a:ext cx="2552701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0</xdr:colOff>
      <xdr:row>32</xdr:row>
      <xdr:rowOff>66675</xdr:rowOff>
    </xdr:from>
    <xdr:ext cx="2170748" cy="81915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7" t="21510" r="6587" b="11705"/>
        <a:stretch/>
      </xdr:blipFill>
      <xdr:spPr>
        <a:xfrm>
          <a:off x="0" y="6029325"/>
          <a:ext cx="2170748" cy="819150"/>
        </a:xfrm>
        <a:prstGeom prst="rect">
          <a:avLst/>
        </a:prstGeom>
      </xdr:spPr>
    </xdr:pic>
    <xdr:clientData/>
  </xdr:oneCellAnchor>
  <xdr:twoCellAnchor>
    <xdr:from>
      <xdr:col>2</xdr:col>
      <xdr:colOff>405869</xdr:colOff>
      <xdr:row>59</xdr:row>
      <xdr:rowOff>188944</xdr:rowOff>
    </xdr:from>
    <xdr:to>
      <xdr:col>2</xdr:col>
      <xdr:colOff>411574</xdr:colOff>
      <xdr:row>61</xdr:row>
      <xdr:rowOff>6615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2501369" y="11142694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350231</xdr:colOff>
      <xdr:row>59</xdr:row>
      <xdr:rowOff>190951</xdr:rowOff>
    </xdr:from>
    <xdr:to>
      <xdr:col>4</xdr:col>
      <xdr:colOff>355936</xdr:colOff>
      <xdr:row>61</xdr:row>
      <xdr:rowOff>8622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4750781" y="11144701"/>
          <a:ext cx="5705" cy="255821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60</xdr:row>
      <xdr:rowOff>0</xdr:rowOff>
    </xdr:from>
    <xdr:to>
      <xdr:col>1</xdr:col>
      <xdr:colOff>476250</xdr:colOff>
      <xdr:row>61</xdr:row>
      <xdr:rowOff>19050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3875" y="11153775"/>
          <a:ext cx="1285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AUTORIZO</a:t>
          </a:r>
        </a:p>
      </xdr:txBody>
    </xdr:sp>
    <xdr:clientData/>
  </xdr:twoCellAnchor>
  <xdr:twoCellAnchor>
    <xdr:from>
      <xdr:col>2</xdr:col>
      <xdr:colOff>847725</xdr:colOff>
      <xdr:row>60</xdr:row>
      <xdr:rowOff>0</xdr:rowOff>
    </xdr:from>
    <xdr:to>
      <xdr:col>3</xdr:col>
      <xdr:colOff>962025</xdr:colOff>
      <xdr:row>61</xdr:row>
      <xdr:rowOff>19050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2943225" y="11153775"/>
          <a:ext cx="1228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ENTREGADO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7</xdr:col>
      <xdr:colOff>180975</xdr:colOff>
      <xdr:row>61</xdr:row>
      <xdr:rowOff>19050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791200" y="11153775"/>
          <a:ext cx="933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chemeClr val="bg1"/>
              </a:solidFill>
            </a:rPr>
            <a:t>RECIBE</a:t>
          </a:r>
        </a:p>
      </xdr:txBody>
    </xdr:sp>
    <xdr:clientData/>
  </xdr:twoCellAnchor>
  <xdr:twoCellAnchor>
    <xdr:from>
      <xdr:col>0</xdr:col>
      <xdr:colOff>19050</xdr:colOff>
      <xdr:row>60</xdr:row>
      <xdr:rowOff>304799</xdr:rowOff>
    </xdr:from>
    <xdr:to>
      <xdr:col>2</xdr:col>
      <xdr:colOff>390526</xdr:colOff>
      <xdr:row>62</xdr:row>
      <xdr:rowOff>171449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9050" y="11391899"/>
          <a:ext cx="2466976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419099</xdr:colOff>
      <xdr:row>60</xdr:row>
      <xdr:rowOff>304799</xdr:rowOff>
    </xdr:from>
    <xdr:to>
      <xdr:col>4</xdr:col>
      <xdr:colOff>333374</xdr:colOff>
      <xdr:row>62</xdr:row>
      <xdr:rowOff>171449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514599" y="11391899"/>
          <a:ext cx="2219325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361950</xdr:colOff>
      <xdr:row>60</xdr:row>
      <xdr:rowOff>304799</xdr:rowOff>
    </xdr:from>
    <xdr:to>
      <xdr:col>7</xdr:col>
      <xdr:colOff>771526</xdr:colOff>
      <xdr:row>62</xdr:row>
      <xdr:rowOff>171449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762500" y="11391899"/>
          <a:ext cx="2552701" cy="428625"/>
        </a:xfrm>
        <a:prstGeom prst="rect">
          <a:avLst/>
        </a:prstGeom>
        <a:solidFill>
          <a:schemeClr val="bg1"/>
        </a:solidFill>
        <a:ln>
          <a:solidFill>
            <a:srgbClr val="2732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85725</xdr:colOff>
      <xdr:row>64</xdr:row>
      <xdr:rowOff>0</xdr:rowOff>
    </xdr:from>
    <xdr:to>
      <xdr:col>7</xdr:col>
      <xdr:colOff>107577</xdr:colOff>
      <xdr:row>65</xdr:row>
      <xdr:rowOff>85725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5725" y="12030075"/>
          <a:ext cx="6565527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0">
              <a:solidFill>
                <a:schemeClr val="tx1"/>
              </a:solidFill>
            </a:rPr>
            <a:t>ES</a:t>
          </a:r>
          <a:r>
            <a:rPr lang="es-MX" sz="1000" b="0" baseline="0">
              <a:solidFill>
                <a:schemeClr val="tx1"/>
              </a:solidFill>
            </a:rPr>
            <a:t> RESPONSABILIDAD </a:t>
          </a:r>
          <a:r>
            <a:rPr lang="es-MX" sz="10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AUTORIZADOR </a:t>
          </a:r>
          <a:r>
            <a:rPr lang="es-MX" sz="1000" b="0" baseline="0">
              <a:solidFill>
                <a:schemeClr val="tx1"/>
              </a:solidFill>
            </a:rPr>
            <a:t>DEL COSTO TOTAL GENERADO EN ESTE VALE DE SALIDA  EN SISTEMA</a:t>
          </a:r>
          <a:endParaRPr lang="es-MX" sz="1000" b="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lmacen%202024\FORMATO%20DE%20PRODUCTOS%20ISP%20MCR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E(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 BASE"/>
      <sheetName val="FORMATO"/>
      <sheetName val="CATALOGO TABLA"/>
      <sheetName val="Hoja1"/>
      <sheetName val="PIVOT FORMATO"/>
      <sheetName val="PIVOT CATALOG"/>
      <sheetName val="CATALOGO DE PRODUCTOS"/>
      <sheetName val="FORMATO DE PRODUCTOS ISP MC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(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03208-56DA-468F-868B-10509E6888E5}" name="Tabla2" displayName="Tabla2" ref="A3:G247" totalsRowShown="0" headerRowDxfId="6" headerRowBorderDxfId="5" tableBorderDxfId="4">
  <autoFilter ref="A3:G247" xr:uid="{BA0B2B12-ABCE-4E40-AC8A-AF5F67FDE190}"/>
  <tableColumns count="7">
    <tableColumn id="1" xr3:uid="{064A5992-A416-429E-8BF8-22069554D9B0}" name="CLAVE" dataDxfId="3"/>
    <tableColumn id="2" xr3:uid="{10614A7B-9EED-4B2B-AB61-B9565AE06AE8}" name="Nombre"/>
    <tableColumn id="3" xr3:uid="{28A22F55-42E3-42D7-AB7A-6D089799AFB9}" name="PUESTO_DESCRIPCION"/>
    <tableColumn id="4" xr3:uid="{492831CF-736F-453B-8B0D-8A5AB5950F1A}" name="DEPTO_DESCRIPCION"/>
    <tableColumn id="5" xr3:uid="{91838AAF-0DCD-4FC3-B1B3-3B10A63F2657}" name="COSTO_DESCRIPCION"/>
    <tableColumn id="6" xr3:uid="{86D6B8EE-E5D5-4200-87C5-6996BF8129EC}" name="Supervisor"/>
    <tableColumn id="7" xr3:uid="{01540484-855B-494F-B3F8-3403812CD2EF}" name="FEC_INGRES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8610-F24B-4156-A351-0D15CB4B5105}">
  <dimension ref="A1:O69"/>
  <sheetViews>
    <sheetView zoomScale="85" zoomScaleNormal="85" zoomScaleSheetLayoutView="70" workbookViewId="0">
      <selection activeCell="A44" sqref="A44:H44"/>
    </sheetView>
  </sheetViews>
  <sheetFormatPr defaultColWidth="11.453125" defaultRowHeight="14.5" x14ac:dyDescent="0.35"/>
  <cols>
    <col min="1" max="1" width="11.7265625" style="25" customWidth="1"/>
    <col min="2" max="2" width="14.81640625" style="25" customWidth="1"/>
    <col min="3" max="3" width="16.7265625" style="25" customWidth="1"/>
    <col min="4" max="4" width="28.1796875" style="25" customWidth="1"/>
    <col min="5" max="5" width="20.81640625" style="25" customWidth="1"/>
    <col min="6" max="6" width="3.7265625" style="25" customWidth="1"/>
    <col min="7" max="7" width="20.54296875" style="25" customWidth="1"/>
    <col min="8" max="8" width="3.54296875" style="25" customWidth="1"/>
    <col min="9" max="10" width="11.453125" style="25"/>
    <col min="11" max="11" width="11.453125" style="42"/>
    <col min="12" max="16384" width="11.453125" style="25"/>
  </cols>
  <sheetData>
    <row r="1" spans="1:13" ht="10.5" customHeight="1" x14ac:dyDescent="0.35">
      <c r="A1" s="28"/>
      <c r="B1" s="28"/>
      <c r="C1" s="127" t="s">
        <v>624</v>
      </c>
      <c r="D1" s="127"/>
      <c r="E1" s="127"/>
      <c r="F1" s="127"/>
      <c r="G1" s="127"/>
      <c r="H1" s="127"/>
    </row>
    <row r="2" spans="1:13" ht="11.25" customHeight="1" x14ac:dyDescent="0.35">
      <c r="A2" s="28"/>
      <c r="B2" s="28"/>
      <c r="C2" s="127"/>
      <c r="D2" s="127"/>
      <c r="E2" s="127"/>
      <c r="F2" s="127"/>
      <c r="G2" s="127"/>
      <c r="H2" s="127"/>
    </row>
    <row r="3" spans="1:13" ht="3" customHeight="1" x14ac:dyDescent="0.35">
      <c r="A3" s="28"/>
      <c r="B3" s="28"/>
      <c r="C3" s="127"/>
      <c r="D3" s="127"/>
      <c r="E3" s="127"/>
      <c r="F3" s="127"/>
      <c r="G3" s="127"/>
      <c r="H3" s="127"/>
    </row>
    <row r="4" spans="1:13" s="26" customFormat="1" ht="28.5" customHeight="1" x14ac:dyDescent="0.35">
      <c r="A4" s="29"/>
      <c r="B4" s="29"/>
      <c r="C4" s="69" t="s">
        <v>625</v>
      </c>
      <c r="D4" s="67"/>
      <c r="E4" s="69" t="s">
        <v>642</v>
      </c>
      <c r="F4" s="131">
        <v>1</v>
      </c>
      <c r="G4" s="132"/>
      <c r="H4" s="133"/>
      <c r="K4" s="52"/>
    </row>
    <row r="5" spans="1:13" ht="28.5" customHeight="1" x14ac:dyDescent="0.35">
      <c r="A5" s="28"/>
      <c r="B5" s="28"/>
      <c r="C5" s="69" t="s">
        <v>637</v>
      </c>
      <c r="D5" s="68"/>
      <c r="E5" s="70" t="s">
        <v>626</v>
      </c>
      <c r="F5" s="134"/>
      <c r="G5" s="135"/>
      <c r="H5" s="136"/>
    </row>
    <row r="6" spans="1:13" ht="4" customHeight="1" x14ac:dyDescent="0.35">
      <c r="A6" s="28"/>
      <c r="B6" s="28"/>
      <c r="C6" s="28"/>
      <c r="D6" s="28"/>
      <c r="E6" s="28"/>
      <c r="F6" s="28"/>
      <c r="G6" s="28"/>
      <c r="H6" s="33"/>
    </row>
    <row r="7" spans="1:13" ht="24" customHeight="1" x14ac:dyDescent="0.35">
      <c r="A7" s="113" t="s">
        <v>647</v>
      </c>
      <c r="B7" s="114"/>
      <c r="C7" s="138"/>
      <c r="D7" s="139"/>
      <c r="E7" s="137" t="s">
        <v>633</v>
      </c>
      <c r="F7" s="137"/>
      <c r="G7" s="137"/>
      <c r="H7" s="137"/>
    </row>
    <row r="8" spans="1:13" ht="24" customHeight="1" x14ac:dyDescent="0.35">
      <c r="A8" s="113" t="s">
        <v>645</v>
      </c>
      <c r="B8" s="114"/>
      <c r="C8" s="124"/>
      <c r="D8" s="125"/>
      <c r="E8" s="64" t="s">
        <v>628</v>
      </c>
      <c r="F8" s="62"/>
      <c r="G8" s="64" t="s">
        <v>632</v>
      </c>
      <c r="H8" s="62"/>
      <c r="I8" s="42"/>
      <c r="M8" s="53"/>
    </row>
    <row r="9" spans="1:13" ht="24" customHeight="1" x14ac:dyDescent="0.35">
      <c r="A9" s="113" t="s">
        <v>636</v>
      </c>
      <c r="B9" s="114"/>
      <c r="C9" s="129"/>
      <c r="D9" s="130"/>
      <c r="E9" s="61" t="s">
        <v>629</v>
      </c>
      <c r="F9" s="65"/>
      <c r="G9" s="66" t="s">
        <v>644</v>
      </c>
      <c r="H9" s="65"/>
      <c r="I9" s="42"/>
    </row>
    <row r="10" spans="1:13" ht="24" customHeight="1" x14ac:dyDescent="0.35">
      <c r="A10" s="113" t="s">
        <v>22</v>
      </c>
      <c r="B10" s="114"/>
      <c r="C10" s="124"/>
      <c r="D10" s="125"/>
      <c r="E10" s="61" t="s">
        <v>631</v>
      </c>
      <c r="F10" s="62" t="s">
        <v>638</v>
      </c>
      <c r="G10" s="63" t="s">
        <v>634</v>
      </c>
      <c r="H10" s="62"/>
      <c r="I10" s="42"/>
    </row>
    <row r="11" spans="1:13" ht="24" customHeight="1" x14ac:dyDescent="0.35">
      <c r="A11" s="113" t="s">
        <v>12</v>
      </c>
      <c r="B11" s="114"/>
      <c r="C11" s="122"/>
      <c r="D11" s="123"/>
      <c r="E11" s="61" t="s">
        <v>630</v>
      </c>
      <c r="F11" s="65"/>
      <c r="G11" s="66" t="s">
        <v>635</v>
      </c>
      <c r="H11" s="65"/>
      <c r="I11" s="42"/>
    </row>
    <row r="12" spans="1:13" ht="4" customHeight="1" x14ac:dyDescent="0.35">
      <c r="A12" s="42"/>
      <c r="B12" s="42"/>
      <c r="C12" s="42"/>
      <c r="D12" s="42"/>
      <c r="E12" s="42"/>
      <c r="F12" s="42"/>
      <c r="G12" s="42"/>
      <c r="H12" s="42"/>
      <c r="I12" s="42"/>
    </row>
    <row r="13" spans="1:13" ht="21.75" customHeight="1" x14ac:dyDescent="0.35">
      <c r="A13" s="119" t="s">
        <v>643</v>
      </c>
      <c r="B13" s="119"/>
      <c r="C13" s="119"/>
      <c r="D13" s="119"/>
      <c r="E13" s="119"/>
      <c r="F13" s="119"/>
      <c r="G13" s="119"/>
      <c r="H13" s="119"/>
    </row>
    <row r="14" spans="1:13" ht="21.75" customHeight="1" x14ac:dyDescent="0.35">
      <c r="A14" s="119"/>
      <c r="B14" s="119"/>
      <c r="C14" s="119"/>
      <c r="D14" s="119"/>
      <c r="E14" s="119"/>
      <c r="F14" s="119"/>
      <c r="G14" s="119"/>
      <c r="H14" s="119"/>
    </row>
    <row r="15" spans="1:13" ht="20.25" customHeight="1" x14ac:dyDescent="0.35">
      <c r="A15" s="50"/>
      <c r="B15" s="47"/>
      <c r="C15" s="47"/>
      <c r="D15" s="47"/>
      <c r="E15" s="47"/>
      <c r="F15" s="47"/>
      <c r="G15" s="47"/>
      <c r="H15" s="60"/>
      <c r="L15" s="53"/>
    </row>
    <row r="16" spans="1:13" ht="20.25" customHeight="1" x14ac:dyDescent="0.35">
      <c r="A16" s="51"/>
      <c r="B16" s="41"/>
      <c r="C16" s="41"/>
      <c r="D16" s="41"/>
      <c r="E16" s="41"/>
      <c r="F16" s="41"/>
      <c r="G16" s="41"/>
      <c r="H16" s="58"/>
    </row>
    <row r="17" spans="1:9" ht="20.25" customHeight="1" x14ac:dyDescent="0.35">
      <c r="A17" s="48"/>
      <c r="B17" s="49"/>
      <c r="C17" s="49"/>
      <c r="D17" s="49"/>
      <c r="E17" s="49"/>
      <c r="F17" s="49"/>
      <c r="G17" s="49"/>
      <c r="H17" s="57"/>
      <c r="I17" s="42"/>
    </row>
    <row r="18" spans="1:9" ht="20.25" customHeight="1" x14ac:dyDescent="0.35">
      <c r="A18" s="51"/>
      <c r="B18" s="41"/>
      <c r="C18" s="41"/>
      <c r="D18" s="41"/>
      <c r="E18" s="41"/>
      <c r="F18" s="41"/>
      <c r="G18" s="41"/>
      <c r="H18" s="59"/>
    </row>
    <row r="19" spans="1:9" ht="20.25" customHeight="1" x14ac:dyDescent="0.35">
      <c r="A19" s="48"/>
      <c r="B19" s="49"/>
      <c r="C19" s="49"/>
      <c r="D19" s="49"/>
      <c r="E19" s="49"/>
      <c r="F19" s="49"/>
      <c r="G19" s="49"/>
      <c r="H19" s="57"/>
      <c r="I19" s="42"/>
    </row>
    <row r="20" spans="1:9" ht="20.25" customHeight="1" x14ac:dyDescent="0.35">
      <c r="A20" s="48"/>
      <c r="B20" s="49"/>
      <c r="C20" s="49"/>
      <c r="D20" s="49"/>
      <c r="E20" s="49"/>
      <c r="F20" s="49"/>
      <c r="G20" s="49"/>
      <c r="H20" s="57"/>
    </row>
    <row r="21" spans="1:9" ht="20.25" customHeight="1" x14ac:dyDescent="0.35">
      <c r="A21" s="51"/>
      <c r="B21" s="41"/>
      <c r="C21" s="41"/>
      <c r="D21" s="41"/>
      <c r="E21" s="41"/>
      <c r="F21" s="41"/>
      <c r="G21" s="41"/>
      <c r="H21" s="58"/>
    </row>
    <row r="22" spans="1:9" ht="20.25" customHeight="1" x14ac:dyDescent="0.35">
      <c r="A22" s="48"/>
      <c r="B22" s="49"/>
      <c r="C22" s="49"/>
      <c r="D22" s="49"/>
      <c r="E22" s="49"/>
      <c r="F22" s="49"/>
      <c r="G22" s="49"/>
      <c r="H22" s="57"/>
    </row>
    <row r="23" spans="1:9" ht="20.25" customHeight="1" x14ac:dyDescent="0.35">
      <c r="A23" s="51"/>
      <c r="B23" s="41"/>
      <c r="C23" s="41"/>
      <c r="D23" s="41"/>
      <c r="E23" s="41"/>
      <c r="F23" s="41"/>
      <c r="G23" s="41"/>
      <c r="H23" s="59"/>
    </row>
    <row r="24" spans="1:9" ht="4" customHeight="1" thickBot="1" x14ac:dyDescent="0.4">
      <c r="A24" s="41"/>
      <c r="B24" s="41"/>
      <c r="C24" s="41"/>
      <c r="D24" s="41"/>
      <c r="E24" s="41"/>
      <c r="F24" s="41"/>
      <c r="G24" s="41"/>
      <c r="H24" s="41"/>
    </row>
    <row r="25" spans="1:9" ht="27" customHeight="1" thickTop="1" thickBot="1" x14ac:dyDescent="0.4">
      <c r="A25" s="72" t="s">
        <v>640</v>
      </c>
      <c r="B25" s="72" t="s">
        <v>639</v>
      </c>
      <c r="C25" s="126" t="s">
        <v>641</v>
      </c>
      <c r="D25" s="126"/>
      <c r="E25" s="126" t="s">
        <v>646</v>
      </c>
      <c r="F25" s="126"/>
      <c r="G25" s="126" t="s">
        <v>648</v>
      </c>
      <c r="H25" s="126"/>
    </row>
    <row r="26" spans="1:9" ht="21.5" thickTop="1" x14ac:dyDescent="0.5">
      <c r="A26" s="71"/>
      <c r="B26" s="71"/>
      <c r="C26" s="115"/>
      <c r="D26" s="116"/>
      <c r="E26" s="140"/>
      <c r="F26" s="141"/>
      <c r="G26" s="115"/>
      <c r="H26" s="116"/>
    </row>
    <row r="27" spans="1:9" ht="21" x14ac:dyDescent="0.5">
      <c r="A27" s="54"/>
      <c r="B27" s="54"/>
      <c r="C27" s="117"/>
      <c r="D27" s="118"/>
      <c r="E27" s="120"/>
      <c r="F27" s="121"/>
      <c r="G27" s="117"/>
      <c r="H27" s="118"/>
    </row>
    <row r="28" spans="1:9" ht="21" x14ac:dyDescent="0.5">
      <c r="A28" s="54"/>
      <c r="B28" s="54"/>
      <c r="C28" s="117"/>
      <c r="D28" s="118"/>
      <c r="E28" s="120"/>
      <c r="F28" s="121"/>
      <c r="G28" s="117"/>
      <c r="H28" s="118"/>
    </row>
    <row r="29" spans="1:9" ht="21" x14ac:dyDescent="0.5">
      <c r="A29" s="54"/>
      <c r="B29" s="54"/>
      <c r="C29" s="117"/>
      <c r="D29" s="118"/>
      <c r="E29" s="120"/>
      <c r="F29" s="121"/>
      <c r="G29" s="117"/>
      <c r="H29" s="118"/>
    </row>
    <row r="30" spans="1:9" ht="21" x14ac:dyDescent="0.5">
      <c r="A30" s="55"/>
      <c r="B30" s="54"/>
      <c r="C30" s="117"/>
      <c r="D30" s="118"/>
      <c r="E30" s="120"/>
      <c r="F30" s="121"/>
      <c r="G30" s="117"/>
      <c r="H30" s="118"/>
    </row>
    <row r="31" spans="1:9" ht="21" x14ac:dyDescent="0.5">
      <c r="A31" s="54"/>
      <c r="B31" s="54"/>
      <c r="C31" s="117"/>
      <c r="D31" s="118"/>
      <c r="E31" s="120"/>
      <c r="F31" s="121"/>
      <c r="G31" s="117"/>
      <c r="H31" s="118"/>
    </row>
    <row r="32" spans="1:9" ht="21" x14ac:dyDescent="0.5">
      <c r="A32" s="55"/>
      <c r="B32" s="54"/>
      <c r="C32" s="117"/>
      <c r="D32" s="118"/>
      <c r="E32" s="120"/>
      <c r="F32" s="121"/>
      <c r="G32" s="117"/>
      <c r="H32" s="118"/>
    </row>
    <row r="33" spans="1:15" ht="21" x14ac:dyDescent="0.5">
      <c r="A33" s="56"/>
      <c r="B33" s="54"/>
      <c r="C33" s="117"/>
      <c r="D33" s="118"/>
      <c r="E33" s="120"/>
      <c r="F33" s="121"/>
      <c r="G33" s="117"/>
      <c r="H33" s="118"/>
      <c r="O33" s="53"/>
    </row>
    <row r="34" spans="1:15" ht="21" x14ac:dyDescent="0.5">
      <c r="A34" s="54"/>
      <c r="B34" s="54"/>
      <c r="C34" s="117"/>
      <c r="D34" s="118"/>
      <c r="E34" s="120"/>
      <c r="F34" s="121"/>
      <c r="G34" s="117"/>
      <c r="H34" s="118"/>
    </row>
    <row r="35" spans="1:15" ht="21" x14ac:dyDescent="0.5">
      <c r="A35" s="54"/>
      <c r="B35" s="54"/>
      <c r="C35" s="117"/>
      <c r="D35" s="118"/>
      <c r="E35" s="120"/>
      <c r="F35" s="121"/>
      <c r="G35" s="117"/>
      <c r="H35" s="118"/>
    </row>
    <row r="36" spans="1:15" ht="27" customHeight="1" x14ac:dyDescent="0.35">
      <c r="A36" s="106"/>
      <c r="B36" s="106"/>
      <c r="C36" s="106"/>
      <c r="D36" s="106"/>
      <c r="E36" s="106"/>
      <c r="F36" s="106"/>
      <c r="G36" s="106"/>
      <c r="H36" s="106"/>
    </row>
    <row r="37" spans="1:15" ht="20.25" customHeight="1" x14ac:dyDescent="0.35">
      <c r="A37" s="107"/>
      <c r="B37" s="108"/>
      <c r="C37" s="108"/>
      <c r="D37" s="108"/>
      <c r="E37" s="108"/>
      <c r="F37" s="108"/>
      <c r="G37" s="108"/>
      <c r="H37" s="109"/>
      <c r="L37" s="42"/>
    </row>
    <row r="38" spans="1:15" x14ac:dyDescent="0.35">
      <c r="A38" s="107"/>
      <c r="B38" s="108"/>
      <c r="C38" s="108"/>
      <c r="D38" s="108"/>
      <c r="E38" s="108"/>
      <c r="F38" s="108"/>
      <c r="G38" s="108"/>
      <c r="H38" s="109"/>
    </row>
    <row r="39" spans="1:15" ht="4.5" customHeight="1" x14ac:dyDescent="0.35">
      <c r="A39" s="40"/>
      <c r="B39" s="42"/>
      <c r="C39" s="42"/>
      <c r="D39" s="42"/>
      <c r="E39" s="42"/>
      <c r="F39" s="42"/>
      <c r="G39" s="42"/>
      <c r="H39" s="44"/>
    </row>
    <row r="40" spans="1:15" ht="10.5" customHeight="1" x14ac:dyDescent="0.35">
      <c r="A40" s="43"/>
      <c r="B40" s="33"/>
      <c r="C40" s="102"/>
      <c r="D40" s="102"/>
      <c r="E40" s="102"/>
      <c r="F40" s="102"/>
      <c r="G40" s="102"/>
      <c r="H40" s="103"/>
    </row>
    <row r="41" spans="1:15" ht="12.75" customHeight="1" x14ac:dyDescent="0.35">
      <c r="A41" s="43"/>
      <c r="B41" s="33"/>
      <c r="C41" s="102"/>
      <c r="D41" s="102"/>
      <c r="E41" s="102"/>
      <c r="F41" s="102"/>
      <c r="G41" s="102"/>
      <c r="H41" s="103"/>
    </row>
    <row r="42" spans="1:15" x14ac:dyDescent="0.35">
      <c r="A42" s="45"/>
      <c r="B42" s="46"/>
      <c r="C42" s="104"/>
      <c r="D42" s="104"/>
      <c r="E42" s="104"/>
      <c r="F42" s="104"/>
      <c r="G42" s="104"/>
      <c r="H42" s="105"/>
    </row>
    <row r="43" spans="1:15" x14ac:dyDescent="0.35">
      <c r="A43" s="99"/>
      <c r="B43" s="99"/>
      <c r="C43" s="99"/>
      <c r="D43" s="99"/>
      <c r="E43" s="99"/>
      <c r="F43" s="99"/>
      <c r="G43" s="99"/>
      <c r="H43" s="99"/>
    </row>
    <row r="44" spans="1:15" s="26" customFormat="1" ht="28.5" customHeight="1" x14ac:dyDescent="0.35">
      <c r="A44" s="111" t="s">
        <v>627</v>
      </c>
      <c r="B44" s="111"/>
      <c r="C44" s="111"/>
      <c r="D44" s="111"/>
      <c r="E44" s="111"/>
      <c r="F44" s="111"/>
      <c r="G44" s="111"/>
      <c r="H44" s="111"/>
      <c r="K44" s="52"/>
    </row>
    <row r="45" spans="1:15" x14ac:dyDescent="0.35">
      <c r="A45" s="36"/>
      <c r="B45" s="110"/>
      <c r="C45" s="110"/>
      <c r="D45" s="110"/>
      <c r="E45" s="33"/>
      <c r="F45" s="33"/>
      <c r="G45" s="33"/>
      <c r="H45" s="33"/>
    </row>
    <row r="46" spans="1:15" x14ac:dyDescent="0.35">
      <c r="A46" s="37"/>
      <c r="B46" s="112"/>
      <c r="C46" s="112"/>
      <c r="D46" s="112"/>
      <c r="E46" s="128"/>
      <c r="F46" s="128"/>
      <c r="G46" s="128"/>
      <c r="H46" s="128"/>
    </row>
    <row r="47" spans="1:15" x14ac:dyDescent="0.35">
      <c r="A47" s="128"/>
      <c r="B47" s="128"/>
      <c r="C47" s="128"/>
      <c r="D47" s="33"/>
      <c r="E47" s="128"/>
      <c r="F47" s="128"/>
      <c r="G47" s="128"/>
      <c r="H47" s="128"/>
    </row>
    <row r="48" spans="1:15" x14ac:dyDescent="0.35">
      <c r="A48" s="37"/>
      <c r="B48" s="112"/>
      <c r="C48" s="112"/>
      <c r="D48" s="112"/>
      <c r="E48" s="128"/>
      <c r="F48" s="128"/>
      <c r="G48" s="128"/>
      <c r="H48" s="128"/>
    </row>
    <row r="49" spans="1:8" x14ac:dyDescent="0.35">
      <c r="A49" s="128"/>
      <c r="B49" s="128"/>
      <c r="C49" s="128"/>
      <c r="D49" s="33"/>
      <c r="E49" s="128"/>
      <c r="F49" s="128"/>
      <c r="G49" s="128"/>
      <c r="H49" s="128"/>
    </row>
    <row r="50" spans="1:8" ht="5.25" customHeight="1" x14ac:dyDescent="0.35">
      <c r="A50" s="33"/>
      <c r="B50" s="33"/>
      <c r="C50" s="33"/>
      <c r="D50" s="33"/>
      <c r="E50" s="33"/>
      <c r="F50" s="33"/>
      <c r="G50" s="33"/>
      <c r="H50" s="33"/>
    </row>
    <row r="51" spans="1:8" x14ac:dyDescent="0.35">
      <c r="A51" s="38"/>
      <c r="B51" s="100"/>
      <c r="C51" s="100"/>
      <c r="D51" s="100"/>
      <c r="E51" s="100"/>
      <c r="F51" s="38"/>
      <c r="G51" s="39"/>
      <c r="H51" s="39"/>
    </row>
    <row r="52" spans="1:8" x14ac:dyDescent="0.35">
      <c r="A52" s="33"/>
      <c r="B52" s="101"/>
      <c r="C52" s="101"/>
      <c r="D52" s="101"/>
      <c r="E52" s="101"/>
      <c r="F52" s="34"/>
      <c r="G52" s="35"/>
      <c r="H52" s="33"/>
    </row>
    <row r="53" spans="1:8" x14ac:dyDescent="0.35">
      <c r="A53" s="33"/>
      <c r="B53" s="101"/>
      <c r="C53" s="101"/>
      <c r="D53" s="101"/>
      <c r="E53" s="101"/>
      <c r="F53" s="34"/>
      <c r="G53" s="33"/>
      <c r="H53" s="33"/>
    </row>
    <row r="54" spans="1:8" x14ac:dyDescent="0.35">
      <c r="A54" s="33"/>
      <c r="B54" s="101"/>
      <c r="C54" s="101"/>
      <c r="D54" s="101"/>
      <c r="E54" s="101"/>
      <c r="F54" s="34"/>
      <c r="G54" s="33"/>
      <c r="H54" s="33"/>
    </row>
    <row r="55" spans="1:8" x14ac:dyDescent="0.35">
      <c r="A55" s="33"/>
      <c r="B55" s="101"/>
      <c r="C55" s="101"/>
      <c r="D55" s="101"/>
      <c r="E55" s="101"/>
      <c r="F55" s="34"/>
      <c r="G55" s="33"/>
      <c r="H55" s="33"/>
    </row>
    <row r="56" spans="1:8" x14ac:dyDescent="0.35">
      <c r="A56" s="33"/>
      <c r="B56" s="101"/>
      <c r="C56" s="101"/>
      <c r="D56" s="101"/>
      <c r="E56" s="101"/>
      <c r="F56" s="34"/>
      <c r="G56" s="33"/>
      <c r="H56" s="33"/>
    </row>
    <row r="57" spans="1:8" x14ac:dyDescent="0.35">
      <c r="A57" s="33"/>
      <c r="B57" s="101"/>
      <c r="C57" s="101"/>
      <c r="D57" s="101"/>
      <c r="E57" s="101"/>
      <c r="F57" s="34"/>
      <c r="G57" s="33"/>
      <c r="H57" s="33"/>
    </row>
    <row r="58" spans="1:8" x14ac:dyDescent="0.35">
      <c r="A58" s="33"/>
      <c r="B58" s="101"/>
      <c r="C58" s="101"/>
      <c r="D58" s="101"/>
      <c r="E58" s="101"/>
      <c r="F58" s="34"/>
      <c r="G58" s="33"/>
      <c r="H58" s="33"/>
    </row>
    <row r="59" spans="1:8" x14ac:dyDescent="0.35">
      <c r="A59" s="33"/>
      <c r="B59" s="101"/>
      <c r="C59" s="101"/>
      <c r="D59" s="101"/>
      <c r="E59" s="101"/>
      <c r="F59" s="34"/>
      <c r="G59" s="33"/>
      <c r="H59" s="33"/>
    </row>
    <row r="60" spans="1:8" x14ac:dyDescent="0.35">
      <c r="A60" s="33"/>
      <c r="B60" s="101"/>
      <c r="C60" s="101"/>
      <c r="D60" s="101"/>
      <c r="E60" s="101"/>
      <c r="F60" s="34"/>
      <c r="G60" s="33"/>
      <c r="H60" s="33"/>
    </row>
    <row r="61" spans="1:8" x14ac:dyDescent="0.35">
      <c r="A61" s="33"/>
      <c r="B61" s="101"/>
      <c r="C61" s="101"/>
      <c r="D61" s="101"/>
      <c r="E61" s="101"/>
      <c r="F61" s="34"/>
      <c r="G61" s="33"/>
      <c r="H61" s="33"/>
    </row>
    <row r="62" spans="1:8" x14ac:dyDescent="0.35">
      <c r="A62" s="33"/>
      <c r="B62" s="101"/>
      <c r="C62" s="101"/>
      <c r="D62" s="101"/>
      <c r="E62" s="101"/>
      <c r="F62" s="34"/>
      <c r="G62" s="33"/>
      <c r="H62" s="33"/>
    </row>
    <row r="63" spans="1:8" x14ac:dyDescent="0.35">
      <c r="A63" s="33"/>
      <c r="B63" s="101"/>
      <c r="C63" s="101"/>
      <c r="D63" s="101"/>
      <c r="E63" s="101"/>
      <c r="F63" s="34"/>
      <c r="G63" s="33"/>
      <c r="H63" s="33"/>
    </row>
    <row r="64" spans="1:8" x14ac:dyDescent="0.35">
      <c r="A64" s="33"/>
      <c r="B64" s="101"/>
      <c r="C64" s="101"/>
      <c r="D64" s="101"/>
      <c r="E64" s="101"/>
      <c r="F64" s="34"/>
      <c r="G64" s="33"/>
      <c r="H64" s="33"/>
    </row>
    <row r="65" spans="1:8" x14ac:dyDescent="0.35">
      <c r="A65" s="33"/>
      <c r="B65" s="101"/>
      <c r="C65" s="101"/>
      <c r="D65" s="101"/>
      <c r="E65" s="101"/>
      <c r="F65" s="34"/>
      <c r="G65" s="33"/>
      <c r="H65" s="33"/>
    </row>
    <row r="66" spans="1:8" x14ac:dyDescent="0.35">
      <c r="A66" s="33"/>
      <c r="B66" s="101"/>
      <c r="C66" s="101"/>
      <c r="D66" s="101"/>
      <c r="E66" s="101"/>
      <c r="F66" s="34"/>
      <c r="G66" s="33"/>
      <c r="H66" s="33"/>
    </row>
    <row r="67" spans="1:8" ht="18.75" customHeight="1" x14ac:dyDescent="0.35">
      <c r="A67" s="100"/>
      <c r="B67" s="100"/>
      <c r="C67" s="100"/>
      <c r="D67" s="100"/>
      <c r="E67" s="100"/>
      <c r="F67" s="100"/>
      <c r="G67" s="100"/>
      <c r="H67" s="100"/>
    </row>
    <row r="68" spans="1:8" ht="20.25" customHeight="1" x14ac:dyDescent="0.35">
      <c r="A68" s="99"/>
      <c r="B68" s="99"/>
      <c r="C68" s="99"/>
      <c r="D68" s="99"/>
      <c r="E68" s="99"/>
      <c r="F68" s="99"/>
      <c r="G68" s="99"/>
      <c r="H68" s="99"/>
    </row>
    <row r="69" spans="1:8" x14ac:dyDescent="0.35">
      <c r="A69" s="99"/>
      <c r="B69" s="99"/>
      <c r="C69" s="99"/>
      <c r="D69" s="99"/>
      <c r="E69" s="99"/>
      <c r="F69" s="99"/>
      <c r="G69" s="99"/>
      <c r="H69" s="99"/>
    </row>
  </sheetData>
  <mergeCells count="80">
    <mergeCell ref="C26:D26"/>
    <mergeCell ref="G30:H30"/>
    <mergeCell ref="G31:H31"/>
    <mergeCell ref="G32:H32"/>
    <mergeCell ref="G33:H33"/>
    <mergeCell ref="G28:H28"/>
    <mergeCell ref="G29:H29"/>
    <mergeCell ref="E7:H7"/>
    <mergeCell ref="C8:D8"/>
    <mergeCell ref="C7:D7"/>
    <mergeCell ref="E25:F25"/>
    <mergeCell ref="B61:E61"/>
    <mergeCell ref="B60:E60"/>
    <mergeCell ref="B59:E59"/>
    <mergeCell ref="B58:E58"/>
    <mergeCell ref="B57:E57"/>
    <mergeCell ref="C27:D27"/>
    <mergeCell ref="E27:F27"/>
    <mergeCell ref="E26:F26"/>
    <mergeCell ref="C34:D34"/>
    <mergeCell ref="E34:F34"/>
    <mergeCell ref="G34:H34"/>
    <mergeCell ref="C35:D35"/>
    <mergeCell ref="C9:D9"/>
    <mergeCell ref="F4:H4"/>
    <mergeCell ref="F5:H5"/>
    <mergeCell ref="B66:E66"/>
    <mergeCell ref="B65:E65"/>
    <mergeCell ref="B64:E64"/>
    <mergeCell ref="B63:E63"/>
    <mergeCell ref="B62:E62"/>
    <mergeCell ref="E28:F28"/>
    <mergeCell ref="E29:F29"/>
    <mergeCell ref="E30:F30"/>
    <mergeCell ref="C28:D28"/>
    <mergeCell ref="C29:D29"/>
    <mergeCell ref="C30:D30"/>
    <mergeCell ref="C31:D31"/>
    <mergeCell ref="C32:D32"/>
    <mergeCell ref="C1:H3"/>
    <mergeCell ref="A7:B7"/>
    <mergeCell ref="A8:B8"/>
    <mergeCell ref="A9:B9"/>
    <mergeCell ref="B56:E56"/>
    <mergeCell ref="E46:H46"/>
    <mergeCell ref="A47:C47"/>
    <mergeCell ref="E47:H47"/>
    <mergeCell ref="E48:H48"/>
    <mergeCell ref="A49:C49"/>
    <mergeCell ref="E49:H49"/>
    <mergeCell ref="B51:E51"/>
    <mergeCell ref="B52:E52"/>
    <mergeCell ref="B53:E53"/>
    <mergeCell ref="B54:E54"/>
    <mergeCell ref="B48:D48"/>
    <mergeCell ref="A10:B10"/>
    <mergeCell ref="A11:B11"/>
    <mergeCell ref="G26:H26"/>
    <mergeCell ref="G27:H27"/>
    <mergeCell ref="A43:H43"/>
    <mergeCell ref="A13:H14"/>
    <mergeCell ref="E31:F31"/>
    <mergeCell ref="E32:F32"/>
    <mergeCell ref="C33:D33"/>
    <mergeCell ref="E33:F33"/>
    <mergeCell ref="C11:D11"/>
    <mergeCell ref="C10:D10"/>
    <mergeCell ref="E35:F35"/>
    <mergeCell ref="G35:H35"/>
    <mergeCell ref="G25:H25"/>
    <mergeCell ref="C25:D25"/>
    <mergeCell ref="A68:H69"/>
    <mergeCell ref="A67:H67"/>
    <mergeCell ref="B55:E55"/>
    <mergeCell ref="C40:H42"/>
    <mergeCell ref="A36:H36"/>
    <mergeCell ref="A37:H38"/>
    <mergeCell ref="B45:D45"/>
    <mergeCell ref="A44:H44"/>
    <mergeCell ref="B46:D46"/>
  </mergeCells>
  <pageMargins left="0.7" right="0.7" top="0.75" bottom="0.75" header="0.3" footer="0.3"/>
  <pageSetup scale="75" orientation="portrait" r:id="rId1"/>
  <colBreaks count="1" manualBreakCount="1">
    <brk id="8" max="1048575" man="1"/>
  </colBreaks>
  <ignoredErrors>
    <ignoredError sqref="C8 C9 C10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12</xdr:col>
                    <xdr:colOff>19050</xdr:colOff>
                    <xdr:row>9</xdr:row>
                    <xdr:rowOff>279400</xdr:rowOff>
                  </from>
                  <to>
                    <xdr:col>12</xdr:col>
                    <xdr:colOff>336550</xdr:colOff>
                    <xdr:row>10</xdr:row>
                    <xdr:rowOff>298450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A1EE985-48F4-4B1D-9C17-93D481B345FA}">
          <x14:formula1>
            <xm:f>_xlfn.ANCHORARRAY(EMPLEADOS!$I$4)</xm:f>
          </x14:formula1>
          <xm:sqref>B45:D45 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C87C-8A52-4402-B891-8DA5D5F60FBD}">
  <dimension ref="A1:O79"/>
  <sheetViews>
    <sheetView tabSelected="1" view="pageLayout" zoomScaleNormal="110" zoomScaleSheetLayoutView="70" workbookViewId="0">
      <selection activeCell="C53" sqref="C53"/>
    </sheetView>
  </sheetViews>
  <sheetFormatPr defaultColWidth="11.453125" defaultRowHeight="14.5" x14ac:dyDescent="0.35"/>
  <cols>
    <col min="1" max="1" width="11.7265625" style="25" customWidth="1"/>
    <col min="2" max="2" width="18.453125" style="25" customWidth="1"/>
    <col min="3" max="3" width="16.7265625" style="25" customWidth="1"/>
    <col min="4" max="4" width="27.453125" style="25" customWidth="1"/>
    <col min="5" max="5" width="19.1796875" style="25" customWidth="1"/>
    <col min="6" max="6" width="3.7265625" style="25" customWidth="1"/>
    <col min="7" max="7" width="20.54296875" style="25" customWidth="1"/>
    <col min="8" max="8" width="5.26953125" style="25" customWidth="1"/>
    <col min="9" max="10" width="11.453125" style="25"/>
    <col min="11" max="11" width="11.453125" style="42"/>
    <col min="12" max="16384" width="11.453125" style="25"/>
  </cols>
  <sheetData>
    <row r="1" spans="1:13" ht="45" customHeight="1" x14ac:dyDescent="0.35">
      <c r="A1" s="28"/>
      <c r="B1" s="28"/>
      <c r="C1" s="142" t="s">
        <v>624</v>
      </c>
      <c r="D1" s="143"/>
      <c r="E1" s="143"/>
      <c r="F1" s="143"/>
      <c r="G1" s="143"/>
      <c r="H1" s="144"/>
    </row>
    <row r="2" spans="1:13" s="28" customFormat="1" ht="4" customHeight="1" x14ac:dyDescent="0.35">
      <c r="C2" s="73"/>
      <c r="D2" s="73"/>
      <c r="E2" s="73"/>
      <c r="F2" s="73"/>
      <c r="G2" s="73"/>
      <c r="H2" s="73"/>
      <c r="K2" s="33"/>
    </row>
    <row r="3" spans="1:13" s="26" customFormat="1" ht="27" customHeight="1" x14ac:dyDescent="0.35">
      <c r="A3" s="29"/>
      <c r="B3" s="29"/>
      <c r="C3" s="92" t="s">
        <v>649</v>
      </c>
      <c r="D3" s="97"/>
      <c r="E3" s="178" t="s">
        <v>653</v>
      </c>
      <c r="F3" s="179"/>
      <c r="G3" s="182">
        <v>1</v>
      </c>
      <c r="H3" s="183"/>
      <c r="I3" s="27"/>
      <c r="K3" s="52"/>
    </row>
    <row r="4" spans="1:13" ht="27" customHeight="1" x14ac:dyDescent="0.35">
      <c r="A4" s="28"/>
      <c r="B4" s="28"/>
      <c r="C4" s="93" t="s">
        <v>650</v>
      </c>
      <c r="D4" s="98"/>
      <c r="E4" s="180" t="s">
        <v>652</v>
      </c>
      <c r="F4" s="181"/>
      <c r="G4" s="184"/>
      <c r="H4" s="136"/>
    </row>
    <row r="5" spans="1:13" ht="4" customHeight="1" x14ac:dyDescent="0.35">
      <c r="A5" s="28"/>
      <c r="B5" s="28"/>
      <c r="C5" s="28"/>
      <c r="D5" s="28"/>
      <c r="E5" s="28"/>
      <c r="F5" s="28"/>
      <c r="G5" s="28"/>
      <c r="H5" s="33"/>
    </row>
    <row r="6" spans="1:13" ht="24" customHeight="1" x14ac:dyDescent="0.35">
      <c r="A6" s="113" t="s">
        <v>647</v>
      </c>
      <c r="B6" s="114"/>
      <c r="C6" s="173"/>
      <c r="D6" s="174"/>
      <c r="E6" s="175" t="s">
        <v>651</v>
      </c>
      <c r="F6" s="176"/>
      <c r="G6" s="176"/>
      <c r="H6" s="177"/>
      <c r="L6" s="42"/>
    </row>
    <row r="7" spans="1:13" ht="24" customHeight="1" x14ac:dyDescent="0.35">
      <c r="A7" s="113" t="s">
        <v>645</v>
      </c>
      <c r="B7" s="114"/>
      <c r="C7" s="167"/>
      <c r="D7" s="168"/>
      <c r="E7" s="80" t="s">
        <v>628</v>
      </c>
      <c r="F7" s="83"/>
      <c r="G7" s="87" t="s">
        <v>632</v>
      </c>
      <c r="H7" s="88"/>
      <c r="I7" s="42"/>
      <c r="L7" s="42"/>
      <c r="M7" s="42"/>
    </row>
    <row r="8" spans="1:13" ht="24" customHeight="1" x14ac:dyDescent="0.35">
      <c r="A8" s="113" t="s">
        <v>636</v>
      </c>
      <c r="B8" s="114"/>
      <c r="C8" s="169"/>
      <c r="D8" s="170"/>
      <c r="E8" s="81" t="s">
        <v>629</v>
      </c>
      <c r="F8" s="84"/>
      <c r="G8" s="94" t="s">
        <v>644</v>
      </c>
      <c r="H8" s="89"/>
      <c r="I8" s="42"/>
      <c r="J8" s="42"/>
      <c r="L8" s="42"/>
    </row>
    <row r="9" spans="1:13" ht="24" customHeight="1" x14ac:dyDescent="0.35">
      <c r="A9" s="171" t="s">
        <v>22</v>
      </c>
      <c r="B9" s="172"/>
      <c r="C9" s="167"/>
      <c r="D9" s="168"/>
      <c r="E9" s="81" t="s">
        <v>631</v>
      </c>
      <c r="F9" s="85"/>
      <c r="G9" s="95" t="s">
        <v>634</v>
      </c>
      <c r="H9" s="90"/>
      <c r="I9" s="42"/>
      <c r="L9" s="42"/>
    </row>
    <row r="10" spans="1:13" ht="24" customHeight="1" x14ac:dyDescent="0.35">
      <c r="A10" s="113" t="s">
        <v>12</v>
      </c>
      <c r="B10" s="157"/>
      <c r="C10" s="158"/>
      <c r="D10" s="159"/>
      <c r="E10" s="82" t="s">
        <v>630</v>
      </c>
      <c r="F10" s="86"/>
      <c r="G10" s="96" t="s">
        <v>635</v>
      </c>
      <c r="H10" s="91"/>
      <c r="I10" s="42"/>
      <c r="L10" s="42"/>
    </row>
    <row r="11" spans="1:13" ht="4" customHeight="1" thickBot="1" x14ac:dyDescent="0.4">
      <c r="A11" s="79"/>
      <c r="B11" s="75"/>
      <c r="C11" s="42"/>
      <c r="D11" s="42"/>
      <c r="E11" s="42"/>
      <c r="F11" s="42"/>
      <c r="G11" s="42"/>
      <c r="H11" s="42"/>
      <c r="I11" s="42"/>
      <c r="L11" s="42"/>
    </row>
    <row r="12" spans="1:13" ht="27" customHeight="1" thickTop="1" thickBot="1" x14ac:dyDescent="0.4">
      <c r="A12" s="78" t="s">
        <v>640</v>
      </c>
      <c r="B12" s="77" t="s">
        <v>639</v>
      </c>
      <c r="C12" s="160" t="s">
        <v>641</v>
      </c>
      <c r="D12" s="160"/>
      <c r="E12" s="160" t="s">
        <v>646</v>
      </c>
      <c r="F12" s="160"/>
      <c r="G12" s="161" t="s">
        <v>648</v>
      </c>
      <c r="H12" s="162"/>
      <c r="I12" s="42"/>
      <c r="J12" s="76"/>
    </row>
    <row r="13" spans="1:13" ht="21" x14ac:dyDescent="0.5">
      <c r="A13" s="71"/>
      <c r="B13" s="71"/>
      <c r="C13" s="163"/>
      <c r="D13" s="164"/>
      <c r="E13" s="165"/>
      <c r="F13" s="166"/>
      <c r="G13" s="163"/>
      <c r="H13" s="164"/>
    </row>
    <row r="14" spans="1:13" ht="21" x14ac:dyDescent="0.5">
      <c r="A14" s="54"/>
      <c r="B14" s="54"/>
      <c r="C14" s="117"/>
      <c r="D14" s="118"/>
      <c r="E14" s="120"/>
      <c r="F14" s="121"/>
      <c r="G14" s="117"/>
      <c r="H14" s="118"/>
    </row>
    <row r="15" spans="1:13" ht="21" x14ac:dyDescent="0.5">
      <c r="A15" s="54"/>
      <c r="B15" s="54"/>
      <c r="C15" s="117"/>
      <c r="D15" s="118"/>
      <c r="E15" s="120"/>
      <c r="F15" s="121"/>
      <c r="G15" s="117"/>
      <c r="H15" s="118"/>
    </row>
    <row r="16" spans="1:13" ht="21" x14ac:dyDescent="0.5">
      <c r="A16" s="54"/>
      <c r="B16" s="54"/>
      <c r="C16" s="117"/>
      <c r="D16" s="118"/>
      <c r="E16" s="120"/>
      <c r="F16" s="121"/>
      <c r="G16" s="117"/>
      <c r="H16" s="118"/>
    </row>
    <row r="17" spans="1:15" ht="21" x14ac:dyDescent="0.5">
      <c r="A17" s="55"/>
      <c r="B17" s="54"/>
      <c r="C17" s="117"/>
      <c r="D17" s="118"/>
      <c r="E17" s="120"/>
      <c r="F17" s="121"/>
      <c r="G17" s="117"/>
      <c r="H17" s="118"/>
    </row>
    <row r="18" spans="1:15" ht="21" x14ac:dyDescent="0.5">
      <c r="A18" s="54"/>
      <c r="B18" s="54"/>
      <c r="C18" s="117"/>
      <c r="D18" s="118"/>
      <c r="E18" s="120"/>
      <c r="F18" s="121"/>
      <c r="G18" s="117"/>
      <c r="H18" s="118"/>
    </row>
    <row r="19" spans="1:15" ht="21" x14ac:dyDescent="0.5">
      <c r="A19" s="55"/>
      <c r="B19" s="54"/>
      <c r="C19" s="117"/>
      <c r="D19" s="118"/>
      <c r="E19" s="120"/>
      <c r="F19" s="121"/>
      <c r="G19" s="117"/>
      <c r="H19" s="118"/>
    </row>
    <row r="20" spans="1:15" ht="21" x14ac:dyDescent="0.5">
      <c r="A20" s="56"/>
      <c r="B20" s="54"/>
      <c r="C20" s="117"/>
      <c r="D20" s="118"/>
      <c r="E20" s="120"/>
      <c r="F20" s="121"/>
      <c r="G20" s="117"/>
      <c r="H20" s="118"/>
      <c r="O20" s="42"/>
    </row>
    <row r="21" spans="1:15" ht="21" x14ac:dyDescent="0.5">
      <c r="A21" s="54"/>
      <c r="B21" s="54"/>
      <c r="C21" s="117"/>
      <c r="D21" s="118"/>
      <c r="E21" s="120"/>
      <c r="F21" s="121"/>
      <c r="G21" s="117"/>
      <c r="H21" s="118"/>
    </row>
    <row r="22" spans="1:15" ht="21" x14ac:dyDescent="0.5">
      <c r="A22" s="74"/>
      <c r="B22" s="74"/>
      <c r="C22" s="145"/>
      <c r="D22" s="146"/>
      <c r="E22" s="147"/>
      <c r="F22" s="148"/>
      <c r="G22" s="145"/>
      <c r="H22" s="146"/>
    </row>
    <row r="23" spans="1:15" ht="7" customHeight="1" x14ac:dyDescent="0.5">
      <c r="A23" s="149"/>
      <c r="B23" s="150"/>
      <c r="C23" s="150"/>
      <c r="D23" s="150"/>
      <c r="E23" s="150"/>
      <c r="F23" s="150"/>
      <c r="G23" s="150"/>
      <c r="H23" s="150"/>
      <c r="I23" s="76"/>
    </row>
    <row r="24" spans="1:15" x14ac:dyDescent="0.35">
      <c r="A24" s="119" t="s">
        <v>643</v>
      </c>
      <c r="B24" s="119"/>
      <c r="C24" s="119"/>
      <c r="D24" s="119"/>
      <c r="E24" s="119"/>
      <c r="F24" s="119"/>
      <c r="G24" s="119"/>
      <c r="H24" s="119"/>
    </row>
    <row r="25" spans="1:15" x14ac:dyDescent="0.35">
      <c r="A25" s="119"/>
      <c r="B25" s="119"/>
      <c r="C25" s="119"/>
      <c r="D25" s="119"/>
      <c r="E25" s="119"/>
      <c r="F25" s="119"/>
      <c r="G25" s="119"/>
      <c r="H25" s="119"/>
    </row>
    <row r="26" spans="1:15" ht="18" customHeight="1" x14ac:dyDescent="0.35">
      <c r="A26" s="151"/>
      <c r="B26" s="152"/>
      <c r="C26" s="152"/>
      <c r="D26" s="152"/>
      <c r="E26" s="152"/>
      <c r="F26" s="152"/>
      <c r="G26" s="152"/>
      <c r="H26" s="153"/>
    </row>
    <row r="27" spans="1:15" ht="18" customHeight="1" x14ac:dyDescent="0.35">
      <c r="A27" s="154"/>
      <c r="B27" s="155"/>
      <c r="C27" s="155"/>
      <c r="D27" s="155"/>
      <c r="E27" s="155"/>
      <c r="F27" s="155"/>
      <c r="G27" s="155"/>
      <c r="H27" s="156"/>
    </row>
    <row r="28" spans="1:15" ht="18" customHeight="1" x14ac:dyDescent="0.35">
      <c r="A28" s="154"/>
      <c r="B28" s="155"/>
      <c r="C28" s="155"/>
      <c r="D28" s="155"/>
      <c r="E28" s="155"/>
      <c r="F28" s="155"/>
      <c r="G28" s="155"/>
      <c r="H28" s="156"/>
    </row>
    <row r="29" spans="1:15" ht="18" customHeight="1" x14ac:dyDescent="0.35">
      <c r="A29" s="154"/>
      <c r="B29" s="155"/>
      <c r="C29" s="155"/>
      <c r="D29" s="155"/>
      <c r="E29" s="155"/>
      <c r="F29" s="155"/>
      <c r="G29" s="155"/>
      <c r="H29" s="156"/>
    </row>
    <row r="30" spans="1:15" ht="18" customHeight="1" x14ac:dyDescent="0.35">
      <c r="A30" s="154"/>
      <c r="B30" s="155"/>
      <c r="C30" s="155"/>
      <c r="D30" s="155"/>
      <c r="E30" s="155"/>
      <c r="F30" s="155"/>
      <c r="G30" s="155"/>
      <c r="H30" s="156"/>
    </row>
    <row r="31" spans="1:15" ht="18" customHeight="1" x14ac:dyDescent="0.35">
      <c r="A31" s="154"/>
      <c r="B31" s="155"/>
      <c r="C31" s="155"/>
      <c r="D31" s="155"/>
      <c r="E31" s="155"/>
      <c r="F31" s="155"/>
      <c r="G31" s="155"/>
      <c r="H31" s="156"/>
    </row>
    <row r="32" spans="1:15" ht="18" customHeight="1" x14ac:dyDescent="0.35">
      <c r="A32" s="154"/>
      <c r="B32" s="155"/>
      <c r="C32" s="155"/>
      <c r="D32" s="155"/>
      <c r="E32" s="155"/>
      <c r="F32" s="155"/>
      <c r="G32" s="155"/>
      <c r="H32" s="156"/>
    </row>
    <row r="33" spans="1:12" ht="18" customHeight="1" x14ac:dyDescent="0.35">
      <c r="A33" s="154"/>
      <c r="B33" s="155"/>
      <c r="C33" s="155"/>
      <c r="D33" s="155"/>
      <c r="E33" s="155"/>
      <c r="F33" s="155"/>
      <c r="G33" s="155"/>
      <c r="H33" s="156"/>
    </row>
    <row r="34" spans="1:12" ht="18" customHeight="1" x14ac:dyDescent="0.35">
      <c r="A34" s="154"/>
      <c r="B34" s="155"/>
      <c r="C34" s="155"/>
      <c r="D34" s="155"/>
      <c r="E34" s="155"/>
      <c r="F34" s="155"/>
      <c r="G34" s="155"/>
      <c r="H34" s="156"/>
    </row>
    <row r="35" spans="1:12" ht="18" customHeight="1" x14ac:dyDescent="0.35">
      <c r="A35" s="154"/>
      <c r="B35" s="155"/>
      <c r="C35" s="155"/>
      <c r="D35" s="155"/>
      <c r="E35" s="155"/>
      <c r="F35" s="155"/>
      <c r="G35" s="155"/>
      <c r="H35" s="156"/>
    </row>
    <row r="36" spans="1:12" ht="18" customHeight="1" x14ac:dyDescent="0.35">
      <c r="A36" s="154"/>
      <c r="B36" s="155"/>
      <c r="C36" s="155"/>
      <c r="D36" s="155"/>
      <c r="E36" s="155"/>
      <c r="F36" s="155"/>
      <c r="G36" s="155"/>
      <c r="H36" s="156"/>
    </row>
    <row r="37" spans="1:12" ht="18" customHeight="1" x14ac:dyDescent="0.35">
      <c r="A37" s="154"/>
      <c r="B37" s="155"/>
      <c r="C37" s="155"/>
      <c r="D37" s="155"/>
      <c r="E37" s="155"/>
      <c r="F37" s="155"/>
      <c r="G37" s="155"/>
      <c r="H37" s="156"/>
    </row>
    <row r="38" spans="1:12" ht="18" customHeight="1" x14ac:dyDescent="0.35">
      <c r="A38" s="154"/>
      <c r="B38" s="155"/>
      <c r="C38" s="155"/>
      <c r="D38" s="155"/>
      <c r="E38" s="155"/>
      <c r="F38" s="155"/>
      <c r="G38" s="155"/>
      <c r="H38" s="156"/>
    </row>
    <row r="39" spans="1:12" ht="18" customHeight="1" x14ac:dyDescent="0.35">
      <c r="A39" s="154"/>
      <c r="B39" s="155"/>
      <c r="C39" s="155"/>
      <c r="D39" s="155"/>
      <c r="E39" s="155"/>
      <c r="F39" s="155"/>
      <c r="G39" s="155"/>
      <c r="H39" s="156"/>
    </row>
    <row r="40" spans="1:12" ht="18" customHeight="1" x14ac:dyDescent="0.35">
      <c r="A40" s="154"/>
      <c r="B40" s="155"/>
      <c r="C40" s="155"/>
      <c r="D40" s="155"/>
      <c r="E40" s="155"/>
      <c r="F40" s="155"/>
      <c r="G40" s="155"/>
      <c r="H40" s="156"/>
    </row>
    <row r="41" spans="1:12" ht="18" customHeight="1" x14ac:dyDescent="0.35">
      <c r="A41" s="154"/>
      <c r="B41" s="155"/>
      <c r="C41" s="155"/>
      <c r="D41" s="155"/>
      <c r="E41" s="155"/>
      <c r="F41" s="155"/>
      <c r="G41" s="155"/>
      <c r="H41" s="156"/>
    </row>
    <row r="42" spans="1:12" ht="18" customHeight="1" x14ac:dyDescent="0.35">
      <c r="A42" s="154"/>
      <c r="B42" s="155"/>
      <c r="C42" s="155"/>
      <c r="D42" s="155"/>
      <c r="E42" s="155"/>
      <c r="F42" s="155"/>
      <c r="G42" s="155"/>
      <c r="H42" s="156"/>
    </row>
    <row r="43" spans="1:12" ht="18" customHeight="1" x14ac:dyDescent="0.35">
      <c r="A43" s="154"/>
      <c r="B43" s="155"/>
      <c r="C43" s="155"/>
      <c r="D43" s="155"/>
      <c r="E43" s="155"/>
      <c r="F43" s="155"/>
      <c r="G43" s="155"/>
      <c r="H43" s="156"/>
    </row>
    <row r="44" spans="1:12" ht="18" customHeight="1" x14ac:dyDescent="0.35">
      <c r="A44" s="185"/>
      <c r="B44" s="186"/>
      <c r="C44" s="186"/>
      <c r="D44" s="186"/>
      <c r="E44" s="186"/>
      <c r="F44" s="186"/>
      <c r="G44" s="186"/>
      <c r="H44" s="187"/>
    </row>
    <row r="45" spans="1:12" ht="4" customHeight="1" x14ac:dyDescent="0.35"/>
    <row r="46" spans="1:12" ht="27" customHeight="1" x14ac:dyDescent="0.35">
      <c r="A46" s="106"/>
      <c r="B46" s="106"/>
      <c r="C46" s="106"/>
      <c r="D46" s="106"/>
      <c r="E46" s="106"/>
      <c r="F46" s="106"/>
      <c r="G46" s="106"/>
      <c r="H46" s="106"/>
    </row>
    <row r="47" spans="1:12" ht="20.25" customHeight="1" x14ac:dyDescent="0.35">
      <c r="A47" s="107"/>
      <c r="B47" s="108"/>
      <c r="C47" s="108"/>
      <c r="D47" s="108"/>
      <c r="E47" s="108"/>
      <c r="F47" s="108"/>
      <c r="G47" s="108"/>
      <c r="H47" s="109"/>
      <c r="L47" s="42"/>
    </row>
    <row r="48" spans="1:12" x14ac:dyDescent="0.35">
      <c r="A48" s="107"/>
      <c r="B48" s="108"/>
      <c r="C48" s="108"/>
      <c r="D48" s="108"/>
      <c r="E48" s="108"/>
      <c r="F48" s="108"/>
      <c r="G48" s="108"/>
      <c r="H48" s="109"/>
    </row>
    <row r="49" spans="1:12" ht="4.5" customHeight="1" x14ac:dyDescent="0.35">
      <c r="A49" s="40"/>
      <c r="B49" s="42"/>
      <c r="C49" s="42"/>
      <c r="D49" s="42"/>
      <c r="E49" s="42"/>
      <c r="F49" s="42"/>
      <c r="G49" s="42"/>
      <c r="H49" s="44"/>
    </row>
    <row r="50" spans="1:12" ht="10.5" customHeight="1" x14ac:dyDescent="0.35">
      <c r="A50" s="43"/>
      <c r="B50" s="33"/>
      <c r="C50" s="102"/>
      <c r="D50" s="102"/>
      <c r="E50" s="102"/>
      <c r="F50" s="102"/>
      <c r="G50" s="102"/>
      <c r="H50" s="103"/>
    </row>
    <row r="51" spans="1:12" ht="12.75" customHeight="1" x14ac:dyDescent="0.35">
      <c r="A51" s="43"/>
      <c r="B51" s="33"/>
      <c r="C51" s="102"/>
      <c r="D51" s="102"/>
      <c r="E51" s="102"/>
      <c r="F51" s="102"/>
      <c r="G51" s="102"/>
      <c r="H51" s="103"/>
    </row>
    <row r="52" spans="1:12" x14ac:dyDescent="0.35">
      <c r="A52" s="45"/>
      <c r="B52" s="46"/>
      <c r="C52" s="104"/>
      <c r="D52" s="104"/>
      <c r="E52" s="104"/>
      <c r="F52" s="104"/>
      <c r="G52" s="104"/>
      <c r="H52" s="105"/>
    </row>
    <row r="53" spans="1:12" ht="21.75" customHeight="1" x14ac:dyDescent="0.35">
      <c r="L53" s="42"/>
    </row>
    <row r="54" spans="1:12" ht="21.75" customHeight="1" x14ac:dyDescent="0.35">
      <c r="L54" s="42"/>
    </row>
    <row r="55" spans="1:12" ht="20.25" customHeight="1" x14ac:dyDescent="0.35">
      <c r="L55" s="42"/>
    </row>
    <row r="56" spans="1:12" ht="20.25" customHeight="1" x14ac:dyDescent="0.35"/>
    <row r="57" spans="1:12" ht="20.25" customHeight="1" x14ac:dyDescent="0.35"/>
    <row r="58" spans="1:12" ht="20.25" customHeight="1" x14ac:dyDescent="0.35"/>
    <row r="59" spans="1:12" ht="20.25" customHeight="1" x14ac:dyDescent="0.35"/>
    <row r="60" spans="1:12" ht="20.25" customHeight="1" x14ac:dyDescent="0.35"/>
    <row r="61" spans="1:12" ht="20.25" customHeight="1" x14ac:dyDescent="0.35">
      <c r="I61" s="42"/>
    </row>
    <row r="62" spans="1:12" ht="20.25" customHeight="1" x14ac:dyDescent="0.35"/>
    <row r="63" spans="1:12" ht="20.25" customHeight="1" x14ac:dyDescent="0.35">
      <c r="I63" s="42"/>
    </row>
    <row r="64" spans="1:12" ht="20.25" customHeight="1" x14ac:dyDescent="0.35"/>
    <row r="65" spans="1:9" ht="20.25" customHeight="1" x14ac:dyDescent="0.35">
      <c r="I65" s="42"/>
    </row>
    <row r="66" spans="1:9" ht="20.25" customHeight="1" x14ac:dyDescent="0.35"/>
    <row r="67" spans="1:9" ht="20.25" customHeight="1" x14ac:dyDescent="0.35">
      <c r="I67" s="42"/>
    </row>
    <row r="68" spans="1:9" ht="20.25" customHeight="1" x14ac:dyDescent="0.35"/>
    <row r="69" spans="1:9" ht="20.25" customHeight="1" x14ac:dyDescent="0.35">
      <c r="I69" s="42"/>
    </row>
    <row r="70" spans="1:9" ht="20.25" customHeight="1" x14ac:dyDescent="0.35"/>
    <row r="71" spans="1:9" ht="20.25" customHeight="1" x14ac:dyDescent="0.35"/>
    <row r="72" spans="1:9" ht="20.25" customHeight="1" x14ac:dyDescent="0.35"/>
    <row r="74" spans="1:9" x14ac:dyDescent="0.35">
      <c r="A74" s="33"/>
      <c r="B74" s="101"/>
      <c r="C74" s="101"/>
      <c r="D74" s="101"/>
      <c r="E74" s="101"/>
      <c r="F74" s="34"/>
      <c r="G74" s="33"/>
      <c r="H74" s="33"/>
    </row>
    <row r="75" spans="1:9" x14ac:dyDescent="0.35">
      <c r="A75" s="33"/>
      <c r="B75" s="101"/>
      <c r="C75" s="101"/>
      <c r="D75" s="101"/>
      <c r="E75" s="101"/>
      <c r="F75" s="34"/>
      <c r="G75" s="33"/>
      <c r="H75" s="33"/>
    </row>
    <row r="76" spans="1:9" x14ac:dyDescent="0.35">
      <c r="A76" s="33"/>
      <c r="B76" s="101"/>
      <c r="C76" s="101"/>
      <c r="D76" s="101"/>
      <c r="E76" s="101"/>
      <c r="F76" s="34"/>
      <c r="G76" s="33"/>
      <c r="H76" s="33"/>
    </row>
    <row r="77" spans="1:9" ht="18.75" customHeight="1" x14ac:dyDescent="0.35">
      <c r="A77" s="100"/>
      <c r="B77" s="100"/>
      <c r="C77" s="100"/>
      <c r="D77" s="100"/>
      <c r="E77" s="100"/>
      <c r="F77" s="100"/>
      <c r="G77" s="100"/>
      <c r="H77" s="100"/>
    </row>
    <row r="78" spans="1:9" ht="20.25" customHeight="1" x14ac:dyDescent="0.35">
      <c r="A78" s="99"/>
      <c r="B78" s="99"/>
      <c r="C78" s="99"/>
      <c r="D78" s="99"/>
      <c r="E78" s="99"/>
      <c r="F78" s="99"/>
      <c r="G78" s="99"/>
      <c r="H78" s="99"/>
    </row>
    <row r="79" spans="1:9" x14ac:dyDescent="0.35">
      <c r="A79" s="99"/>
      <c r="B79" s="99"/>
      <c r="C79" s="99"/>
      <c r="D79" s="99"/>
      <c r="E79" s="99"/>
      <c r="F79" s="99"/>
      <c r="G79" s="99"/>
      <c r="H79" s="99"/>
    </row>
  </sheetData>
  <mergeCells count="78">
    <mergeCell ref="A43:H43"/>
    <mergeCell ref="A44:H44"/>
    <mergeCell ref="A38:H38"/>
    <mergeCell ref="A39:H39"/>
    <mergeCell ref="A40:H40"/>
    <mergeCell ref="A41:H41"/>
    <mergeCell ref="A42:H42"/>
    <mergeCell ref="A33:H33"/>
    <mergeCell ref="A34:H34"/>
    <mergeCell ref="A35:H35"/>
    <mergeCell ref="A36:H36"/>
    <mergeCell ref="A37:H37"/>
    <mergeCell ref="A6:B6"/>
    <mergeCell ref="C6:D6"/>
    <mergeCell ref="E6:H6"/>
    <mergeCell ref="E3:F3"/>
    <mergeCell ref="E4:F4"/>
    <mergeCell ref="G3:H3"/>
    <mergeCell ref="G4:H4"/>
    <mergeCell ref="A7:B7"/>
    <mergeCell ref="C7:D7"/>
    <mergeCell ref="A8:B8"/>
    <mergeCell ref="C8:D8"/>
    <mergeCell ref="A9:B9"/>
    <mergeCell ref="C9:D9"/>
    <mergeCell ref="A10:B10"/>
    <mergeCell ref="C10:D10"/>
    <mergeCell ref="A24:H25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G20:H20"/>
    <mergeCell ref="A77:H77"/>
    <mergeCell ref="A78:H79"/>
    <mergeCell ref="C18:D18"/>
    <mergeCell ref="E18:F18"/>
    <mergeCell ref="G18:H18"/>
    <mergeCell ref="C19:D19"/>
    <mergeCell ref="E19:F19"/>
    <mergeCell ref="G19:H19"/>
    <mergeCell ref="A26:H26"/>
    <mergeCell ref="A27:H27"/>
    <mergeCell ref="A28:H28"/>
    <mergeCell ref="A29:H29"/>
    <mergeCell ref="A30:H30"/>
    <mergeCell ref="A31:H31"/>
    <mergeCell ref="A32:H32"/>
    <mergeCell ref="C1:H1"/>
    <mergeCell ref="B74:E74"/>
    <mergeCell ref="B75:E75"/>
    <mergeCell ref="B76:E76"/>
    <mergeCell ref="C21:D21"/>
    <mergeCell ref="E21:F21"/>
    <mergeCell ref="G21:H21"/>
    <mergeCell ref="C22:D22"/>
    <mergeCell ref="E22:F22"/>
    <mergeCell ref="G22:H22"/>
    <mergeCell ref="A46:H46"/>
    <mergeCell ref="A47:H48"/>
    <mergeCell ref="C50:H52"/>
    <mergeCell ref="A23:H23"/>
    <mergeCell ref="C20:D20"/>
    <mergeCell ref="E20:F20"/>
  </mergeCells>
  <pageMargins left="0.70866141732283472" right="0.70866141732283472" top="1.3130314960629921" bottom="0.74803149606299213" header="0.31496062992125984" footer="0.31496062992125984"/>
  <pageSetup paperSize="9" scale="69" orientation="portrait" r:id="rId1"/>
  <headerFooter>
    <oddFooter>&amp;L&amp;"-,Cursiva"Reporte de Incidencia de Herramienta&amp;C&amp;"-,Cursiva"SGC-FORM-PAÑ-PAÑ-001 R0&amp;R&amp;"-,Cursiva"01-junio-2026</oddFooter>
  </headerFooter>
  <colBreaks count="1" manualBreakCount="1">
    <brk id="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Check Box 3">
              <controlPr defaultSize="0" autoFill="0" autoLine="0" autoPict="0">
                <anchor moveWithCells="1">
                  <from>
                    <xdr:col>5</xdr:col>
                    <xdr:colOff>19050</xdr:colOff>
                    <xdr:row>5</xdr:row>
                    <xdr:rowOff>298450</xdr:rowOff>
                  </from>
                  <to>
                    <xdr:col>6</xdr:col>
                    <xdr:colOff>88900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5</xdr:col>
                    <xdr:colOff>19050</xdr:colOff>
                    <xdr:row>7</xdr:row>
                    <xdr:rowOff>0</xdr:rowOff>
                  </from>
                  <to>
                    <xdr:col>6</xdr:col>
                    <xdr:colOff>88900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8</xdr:row>
                    <xdr:rowOff>0</xdr:rowOff>
                  </from>
                  <to>
                    <xdr:col>6</xdr:col>
                    <xdr:colOff>88900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Check Box 6">
              <controlPr defaultSize="0" autoFill="0" autoLine="0" autoPict="0">
                <anchor moveWithCells="1">
                  <from>
                    <xdr:col>5</xdr:col>
                    <xdr:colOff>19050</xdr:colOff>
                    <xdr:row>9</xdr:row>
                    <xdr:rowOff>12700</xdr:rowOff>
                  </from>
                  <to>
                    <xdr:col>6</xdr:col>
                    <xdr:colOff>88900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6</xdr:row>
                    <xdr:rowOff>12700</xdr:rowOff>
                  </from>
                  <to>
                    <xdr:col>7</xdr:col>
                    <xdr:colOff>336550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Check Box 8">
              <controlPr defaultSize="0" autoFill="0" autoLine="0" autoPict="0">
                <anchor moveWithCells="1">
                  <from>
                    <xdr:col>7</xdr:col>
                    <xdr:colOff>12700</xdr:colOff>
                    <xdr:row>7</xdr:row>
                    <xdr:rowOff>12700</xdr:rowOff>
                  </from>
                  <to>
                    <xdr:col>7</xdr:col>
                    <xdr:colOff>323850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0" name="Check Box 9">
              <controlPr defaultSize="0" autoFill="0" autoLine="0" autoPict="0">
                <anchor moveWithCells="1">
                  <from>
                    <xdr:col>7</xdr:col>
                    <xdr:colOff>19050</xdr:colOff>
                    <xdr:row>9</xdr:row>
                    <xdr:rowOff>12700</xdr:rowOff>
                  </from>
                  <to>
                    <xdr:col>7</xdr:col>
                    <xdr:colOff>336550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1" name="Check Box 10">
              <controlPr defaultSize="0" autoFill="0" autoLine="0" autoPict="0">
                <anchor moveWithCells="1">
                  <from>
                    <xdr:col>7</xdr:col>
                    <xdr:colOff>19050</xdr:colOff>
                    <xdr:row>8</xdr:row>
                    <xdr:rowOff>12700</xdr:rowOff>
                  </from>
                  <to>
                    <xdr:col>7</xdr:col>
                    <xdr:colOff>336550</xdr:colOff>
                    <xdr:row>9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2B12-ABCE-4E40-AC8A-AF5F67FDE190}">
  <dimension ref="A3:T247"/>
  <sheetViews>
    <sheetView workbookViewId="0">
      <pane ySplit="3" topLeftCell="A214" activePane="bottomLeft" state="frozen"/>
      <selection pane="bottomLeft" activeCell="D229" sqref="D229"/>
    </sheetView>
  </sheetViews>
  <sheetFormatPr defaultColWidth="9.1796875" defaultRowHeight="14.5" x14ac:dyDescent="0.35"/>
  <cols>
    <col min="1" max="1" width="9.1796875" style="1"/>
    <col min="2" max="2" width="38.54296875" bestFit="1" customWidth="1"/>
    <col min="3" max="3" width="29.81640625" bestFit="1" customWidth="1"/>
    <col min="4" max="4" width="26" bestFit="1" customWidth="1"/>
    <col min="5" max="5" width="22.26953125" hidden="1" customWidth="1"/>
    <col min="6" max="6" width="37" bestFit="1" customWidth="1"/>
    <col min="7" max="7" width="15.26953125" style="30" bestFit="1" customWidth="1"/>
    <col min="8" max="8" width="37" bestFit="1" customWidth="1"/>
    <col min="9" max="9" width="38.54296875" style="1" customWidth="1"/>
    <col min="10" max="10" width="11.54296875" customWidth="1"/>
    <col min="11" max="11" width="0" hidden="1" customWidth="1"/>
    <col min="12" max="12" width="38.1796875" hidden="1" customWidth="1"/>
    <col min="13" max="17" width="0" hidden="1" customWidth="1"/>
  </cols>
  <sheetData>
    <row r="3" spans="1:20" ht="15" thickBot="1" x14ac:dyDescent="0.4">
      <c r="A3" s="31" t="s">
        <v>23</v>
      </c>
      <c r="B3" s="32" t="s">
        <v>24</v>
      </c>
      <c r="C3" s="32" t="s">
        <v>25</v>
      </c>
      <c r="D3" s="32" t="s">
        <v>26</v>
      </c>
      <c r="E3" s="32" t="s">
        <v>27</v>
      </c>
      <c r="F3" s="32" t="s">
        <v>28</v>
      </c>
      <c r="G3" s="31" t="s">
        <v>29</v>
      </c>
      <c r="K3" s="1" t="s">
        <v>23</v>
      </c>
      <c r="L3" t="s">
        <v>24</v>
      </c>
      <c r="M3" t="s">
        <v>28</v>
      </c>
    </row>
    <row r="4" spans="1:20" ht="15" thickTop="1" x14ac:dyDescent="0.35">
      <c r="A4" s="1">
        <v>12825</v>
      </c>
      <c r="B4" t="s">
        <v>30</v>
      </c>
      <c r="C4" t="s">
        <v>19</v>
      </c>
      <c r="D4" t="s">
        <v>31</v>
      </c>
      <c r="E4" t="s">
        <v>32</v>
      </c>
      <c r="F4" t="s">
        <v>33</v>
      </c>
      <c r="G4" s="30">
        <v>44399</v>
      </c>
      <c r="I4" s="1" t="str" cm="1">
        <f t="array" ref="I4:I247">_xlfn._xlws.SORT(_xlfn._xlws.FILTER($B$4:B247,ISNUMBER(FIND(BASE!B7,EMPLEADOS!$B$4:B247)),"NO EXISTE"))</f>
        <v>ABRAHAM ALEJANDRO VERA BARAJAS</v>
      </c>
      <c r="K4" s="1">
        <v>12825</v>
      </c>
      <c r="L4" t="s">
        <v>34</v>
      </c>
      <c r="M4" t="s">
        <v>33</v>
      </c>
      <c r="T4" t="str" cm="1">
        <f t="array" ref="T4">_xlfn._xlws.SORT(_xlfn._xlws.FILTER($B$4:$B$247,ISNUMBER(FIND('[2]BASE('!B7,B4:B247)),"NO ENCONTRADO"))</f>
        <v>NO ENCONTRADO</v>
      </c>
    </row>
    <row r="5" spans="1:20" x14ac:dyDescent="0.35">
      <c r="A5" s="1">
        <v>13053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30">
        <v>44399</v>
      </c>
      <c r="I5" s="1" t="str">
        <v>ADOLFO TALABERA OLIVOS</v>
      </c>
      <c r="K5" s="1">
        <v>13053</v>
      </c>
      <c r="L5" t="s">
        <v>40</v>
      </c>
      <c r="M5" t="s">
        <v>39</v>
      </c>
    </row>
    <row r="6" spans="1:20" x14ac:dyDescent="0.35">
      <c r="A6" s="1">
        <v>13417</v>
      </c>
      <c r="B6" t="s">
        <v>41</v>
      </c>
      <c r="C6" t="s">
        <v>42</v>
      </c>
      <c r="D6" t="s">
        <v>21</v>
      </c>
      <c r="E6" t="s">
        <v>43</v>
      </c>
      <c r="F6" t="s">
        <v>44</v>
      </c>
      <c r="G6" s="30">
        <v>44399</v>
      </c>
      <c r="I6" s="1" t="str">
        <v>ALAN RAMIREZ MORALES</v>
      </c>
      <c r="K6" s="1">
        <v>13417</v>
      </c>
      <c r="L6" t="s">
        <v>45</v>
      </c>
      <c r="M6" t="s">
        <v>44</v>
      </c>
    </row>
    <row r="7" spans="1:20" x14ac:dyDescent="0.35">
      <c r="A7" s="1">
        <v>13483</v>
      </c>
      <c r="B7" t="s">
        <v>46</v>
      </c>
      <c r="C7" t="s">
        <v>47</v>
      </c>
      <c r="D7" t="s">
        <v>16</v>
      </c>
      <c r="E7" t="s">
        <v>32</v>
      </c>
      <c r="F7" t="s">
        <v>48</v>
      </c>
      <c r="G7" s="30">
        <v>44399</v>
      </c>
      <c r="I7" s="1" t="str">
        <v>ALEJANDRO RUIZ CAMACHO</v>
      </c>
      <c r="K7" s="1">
        <v>13483</v>
      </c>
      <c r="L7" t="s">
        <v>49</v>
      </c>
      <c r="M7" t="s">
        <v>48</v>
      </c>
    </row>
    <row r="8" spans="1:20" x14ac:dyDescent="0.35">
      <c r="A8" s="1">
        <v>13489</v>
      </c>
      <c r="B8" t="s">
        <v>50</v>
      </c>
      <c r="C8" t="s">
        <v>51</v>
      </c>
      <c r="D8" t="s">
        <v>31</v>
      </c>
      <c r="E8" t="s">
        <v>32</v>
      </c>
      <c r="F8" t="s">
        <v>33</v>
      </c>
      <c r="G8" s="30">
        <v>44399</v>
      </c>
      <c r="I8" s="1" t="str">
        <v>ALEJANDRO SALAS CALVO</v>
      </c>
      <c r="K8" s="1">
        <v>13489</v>
      </c>
      <c r="L8" t="s">
        <v>52</v>
      </c>
      <c r="M8" t="s">
        <v>33</v>
      </c>
    </row>
    <row r="9" spans="1:20" x14ac:dyDescent="0.35">
      <c r="A9" s="1">
        <v>13617</v>
      </c>
      <c r="B9" t="s">
        <v>53</v>
      </c>
      <c r="C9" t="s">
        <v>51</v>
      </c>
      <c r="D9" t="s">
        <v>54</v>
      </c>
      <c r="E9" t="s">
        <v>43</v>
      </c>
      <c r="F9" t="s">
        <v>55</v>
      </c>
      <c r="G9" s="30">
        <v>44399</v>
      </c>
      <c r="I9" s="1" t="str">
        <v>ALEXIS GERARDO MARTINEZ RANGEL</v>
      </c>
      <c r="K9" s="1">
        <v>13617</v>
      </c>
      <c r="L9" t="s">
        <v>56</v>
      </c>
      <c r="M9" t="s">
        <v>55</v>
      </c>
    </row>
    <row r="10" spans="1:20" x14ac:dyDescent="0.35">
      <c r="A10" s="1">
        <v>13626</v>
      </c>
      <c r="B10" t="s">
        <v>57</v>
      </c>
      <c r="C10" t="s">
        <v>51</v>
      </c>
      <c r="D10" t="s">
        <v>31</v>
      </c>
      <c r="E10" t="s">
        <v>32</v>
      </c>
      <c r="F10" t="s">
        <v>33</v>
      </c>
      <c r="G10" s="30">
        <v>44399</v>
      </c>
      <c r="I10" s="1" t="str">
        <v>ALEXIS SERENO NAVARRETE</v>
      </c>
      <c r="K10" s="1">
        <v>13626</v>
      </c>
      <c r="L10" t="s">
        <v>58</v>
      </c>
      <c r="M10" t="s">
        <v>33</v>
      </c>
    </row>
    <row r="11" spans="1:20" x14ac:dyDescent="0.35">
      <c r="A11" s="1">
        <v>200893</v>
      </c>
      <c r="B11" t="s">
        <v>59</v>
      </c>
      <c r="C11" t="s">
        <v>60</v>
      </c>
      <c r="D11" t="s">
        <v>21</v>
      </c>
      <c r="E11" t="s">
        <v>38</v>
      </c>
      <c r="F11" t="s">
        <v>61</v>
      </c>
      <c r="G11" s="30">
        <v>44399</v>
      </c>
      <c r="I11" s="1" t="str">
        <v>ALFONSO CANIZALES BRECEDA</v>
      </c>
      <c r="K11" s="1">
        <v>200893</v>
      </c>
      <c r="L11" t="s">
        <v>44</v>
      </c>
      <c r="M11" t="s">
        <v>61</v>
      </c>
    </row>
    <row r="12" spans="1:20" x14ac:dyDescent="0.35">
      <c r="A12" s="1">
        <v>201067</v>
      </c>
      <c r="B12" t="s">
        <v>62</v>
      </c>
      <c r="C12" t="s">
        <v>42</v>
      </c>
      <c r="D12" t="s">
        <v>21</v>
      </c>
      <c r="E12" t="s">
        <v>43</v>
      </c>
      <c r="F12" t="s">
        <v>44</v>
      </c>
      <c r="G12" s="30">
        <v>45456</v>
      </c>
      <c r="I12" s="1" t="str">
        <v>ALFREDO DIAZ ANTE</v>
      </c>
      <c r="K12" s="1">
        <v>201067</v>
      </c>
      <c r="L12" t="s">
        <v>63</v>
      </c>
      <c r="M12" t="s">
        <v>44</v>
      </c>
    </row>
    <row r="13" spans="1:20" x14ac:dyDescent="0.35">
      <c r="A13" s="1">
        <v>201336</v>
      </c>
      <c r="B13" t="s">
        <v>64</v>
      </c>
      <c r="C13" t="s">
        <v>51</v>
      </c>
      <c r="D13" t="s">
        <v>54</v>
      </c>
      <c r="E13" t="s">
        <v>43</v>
      </c>
      <c r="F13" t="s">
        <v>48</v>
      </c>
      <c r="G13" s="30">
        <v>44399</v>
      </c>
      <c r="I13" s="1" t="str">
        <v>ALFREDO GALLEGOS REYNA</v>
      </c>
      <c r="K13" s="1">
        <v>201336</v>
      </c>
      <c r="L13" t="s">
        <v>65</v>
      </c>
      <c r="M13" t="s">
        <v>48</v>
      </c>
    </row>
    <row r="14" spans="1:20" x14ac:dyDescent="0.35">
      <c r="A14" s="1">
        <v>201362</v>
      </c>
      <c r="B14" t="s">
        <v>66</v>
      </c>
      <c r="C14" t="s">
        <v>67</v>
      </c>
      <c r="D14" t="s">
        <v>31</v>
      </c>
      <c r="E14" t="s">
        <v>32</v>
      </c>
      <c r="F14" t="s">
        <v>33</v>
      </c>
      <c r="G14" s="30">
        <v>44399</v>
      </c>
      <c r="I14" s="1" t="str">
        <v>ALFREDO YOSSEF RAMIREZ AYALA</v>
      </c>
      <c r="K14" s="1">
        <v>201362</v>
      </c>
      <c r="L14" t="s">
        <v>68</v>
      </c>
      <c r="M14" t="s">
        <v>33</v>
      </c>
    </row>
    <row r="15" spans="1:20" x14ac:dyDescent="0.35">
      <c r="A15" s="1">
        <v>201384</v>
      </c>
      <c r="B15" t="s">
        <v>69</v>
      </c>
      <c r="C15" t="s">
        <v>70</v>
      </c>
      <c r="D15" t="s">
        <v>17</v>
      </c>
      <c r="E15" t="s">
        <v>32</v>
      </c>
      <c r="F15" t="s">
        <v>71</v>
      </c>
      <c r="G15" s="30">
        <v>44399</v>
      </c>
      <c r="I15" s="1" t="str">
        <v>ALONSO RESENDIZ GUTIERREZ</v>
      </c>
      <c r="K15" s="1">
        <v>201384</v>
      </c>
      <c r="L15" t="s">
        <v>72</v>
      </c>
      <c r="M15" t="s">
        <v>71</v>
      </c>
    </row>
    <row r="16" spans="1:20" x14ac:dyDescent="0.35">
      <c r="A16" s="1">
        <v>201422</v>
      </c>
      <c r="B16" t="s">
        <v>73</v>
      </c>
      <c r="C16" t="s">
        <v>74</v>
      </c>
      <c r="D16" t="s">
        <v>37</v>
      </c>
      <c r="E16" t="s">
        <v>38</v>
      </c>
      <c r="F16" t="s">
        <v>39</v>
      </c>
      <c r="G16" s="30">
        <v>44399</v>
      </c>
      <c r="I16" s="1" t="str">
        <v>ANABEL VAZQUEZ GOMEZ</v>
      </c>
      <c r="K16" s="1">
        <v>201422</v>
      </c>
      <c r="L16" t="s">
        <v>75</v>
      </c>
      <c r="M16" t="s">
        <v>39</v>
      </c>
    </row>
    <row r="17" spans="1:13" x14ac:dyDescent="0.35">
      <c r="A17" s="1">
        <v>201452</v>
      </c>
      <c r="B17" t="s">
        <v>76</v>
      </c>
      <c r="C17" t="s">
        <v>77</v>
      </c>
      <c r="D17" t="s">
        <v>78</v>
      </c>
      <c r="E17" t="s">
        <v>38</v>
      </c>
      <c r="F17" t="s">
        <v>79</v>
      </c>
      <c r="G17" s="30">
        <v>44399</v>
      </c>
      <c r="I17" s="1" t="str">
        <v>ANGEL EDUARDO CANCINO AGUERO</v>
      </c>
      <c r="K17" s="1">
        <v>201452</v>
      </c>
      <c r="L17" t="s">
        <v>80</v>
      </c>
      <c r="M17" t="s">
        <v>79</v>
      </c>
    </row>
    <row r="18" spans="1:13" x14ac:dyDescent="0.35">
      <c r="A18" s="1">
        <v>201475</v>
      </c>
      <c r="B18" t="s">
        <v>81</v>
      </c>
      <c r="C18" t="s">
        <v>36</v>
      </c>
      <c r="D18" t="s">
        <v>37</v>
      </c>
      <c r="E18" t="s">
        <v>38</v>
      </c>
      <c r="F18" t="s">
        <v>39</v>
      </c>
      <c r="G18" s="30">
        <v>44399</v>
      </c>
      <c r="I18" s="1" t="str">
        <v>ANGEL GABRIEL CENTENO SALDIVAR</v>
      </c>
      <c r="K18" s="1">
        <v>201475</v>
      </c>
      <c r="L18" t="s">
        <v>82</v>
      </c>
      <c r="M18" t="s">
        <v>39</v>
      </c>
    </row>
    <row r="19" spans="1:13" x14ac:dyDescent="0.35">
      <c r="A19" s="1">
        <v>201512</v>
      </c>
      <c r="B19" t="s">
        <v>83</v>
      </c>
      <c r="C19" t="s">
        <v>51</v>
      </c>
      <c r="D19" t="s">
        <v>21</v>
      </c>
      <c r="E19" t="s">
        <v>43</v>
      </c>
      <c r="F19" t="s">
        <v>44</v>
      </c>
      <c r="G19" s="30">
        <v>44399</v>
      </c>
      <c r="I19" s="1" t="str">
        <v>ANGEL GABRIEL HERNANDEZ CASTREJON</v>
      </c>
      <c r="K19" s="1">
        <v>201512</v>
      </c>
      <c r="L19" t="s">
        <v>84</v>
      </c>
      <c r="M19" t="s">
        <v>44</v>
      </c>
    </row>
    <row r="20" spans="1:13" x14ac:dyDescent="0.35">
      <c r="A20" s="1">
        <v>201600</v>
      </c>
      <c r="B20" t="s">
        <v>85</v>
      </c>
      <c r="C20" t="s">
        <v>86</v>
      </c>
      <c r="D20" t="s">
        <v>87</v>
      </c>
      <c r="E20" t="s">
        <v>38</v>
      </c>
      <c r="F20" t="s">
        <v>88</v>
      </c>
      <c r="G20" s="30">
        <v>44399</v>
      </c>
      <c r="I20" s="1" t="str">
        <v>ANGEL ISAI MEDRANO MIRANDA</v>
      </c>
      <c r="K20" s="1">
        <v>201600</v>
      </c>
      <c r="L20" t="s">
        <v>89</v>
      </c>
      <c r="M20" t="s">
        <v>88</v>
      </c>
    </row>
    <row r="21" spans="1:13" x14ac:dyDescent="0.35">
      <c r="A21" s="1">
        <v>201655</v>
      </c>
      <c r="B21" t="s">
        <v>90</v>
      </c>
      <c r="C21" t="s">
        <v>91</v>
      </c>
      <c r="D21" t="s">
        <v>54</v>
      </c>
      <c r="E21" t="s">
        <v>43</v>
      </c>
      <c r="F21" t="s">
        <v>92</v>
      </c>
      <c r="G21" s="30">
        <v>44399</v>
      </c>
      <c r="I21" s="1" t="str">
        <v>ANGEL RODOLFO ROJAS MARTINEZ</v>
      </c>
      <c r="K21" s="1">
        <v>201655</v>
      </c>
      <c r="L21" t="s">
        <v>93</v>
      </c>
      <c r="M21" t="s">
        <v>92</v>
      </c>
    </row>
    <row r="22" spans="1:13" x14ac:dyDescent="0.35">
      <c r="A22" s="1">
        <v>201771</v>
      </c>
      <c r="B22" t="s">
        <v>94</v>
      </c>
      <c r="C22" t="s">
        <v>95</v>
      </c>
      <c r="D22" t="s">
        <v>17</v>
      </c>
      <c r="E22" t="s">
        <v>32</v>
      </c>
      <c r="F22" t="s">
        <v>71</v>
      </c>
      <c r="G22" s="30">
        <v>44399</v>
      </c>
      <c r="I22" s="1" t="str">
        <v>ANGEL SAMMUEL RUBIO ROBLES</v>
      </c>
      <c r="K22" s="1">
        <v>201771</v>
      </c>
      <c r="L22" t="s">
        <v>96</v>
      </c>
      <c r="M22" t="s">
        <v>71</v>
      </c>
    </row>
    <row r="23" spans="1:13" x14ac:dyDescent="0.35">
      <c r="A23" s="1">
        <v>201807</v>
      </c>
      <c r="B23" t="s">
        <v>97</v>
      </c>
      <c r="C23" t="s">
        <v>47</v>
      </c>
      <c r="D23" t="s">
        <v>16</v>
      </c>
      <c r="E23" t="s">
        <v>32</v>
      </c>
      <c r="F23" t="s">
        <v>48</v>
      </c>
      <c r="G23" s="30">
        <v>44399</v>
      </c>
      <c r="I23" s="1" t="str">
        <v>ANTONIO SANTOYO PARTIDA</v>
      </c>
      <c r="K23" s="1">
        <v>201807</v>
      </c>
      <c r="L23" t="s">
        <v>98</v>
      </c>
      <c r="M23" t="s">
        <v>48</v>
      </c>
    </row>
    <row r="24" spans="1:13" x14ac:dyDescent="0.35">
      <c r="A24" s="1">
        <v>201891</v>
      </c>
      <c r="B24" t="s">
        <v>99</v>
      </c>
      <c r="C24" t="s">
        <v>100</v>
      </c>
      <c r="D24" t="s">
        <v>17</v>
      </c>
      <c r="E24" t="s">
        <v>32</v>
      </c>
      <c r="F24" t="s">
        <v>71</v>
      </c>
      <c r="G24" s="30">
        <v>44399</v>
      </c>
      <c r="I24" s="1" t="str">
        <v>ARAM ALBERTO MONTAÑEZ MENDOZA</v>
      </c>
      <c r="K24" s="1">
        <v>201891</v>
      </c>
      <c r="L24" t="s">
        <v>101</v>
      </c>
      <c r="M24" t="s">
        <v>71</v>
      </c>
    </row>
    <row r="25" spans="1:13" x14ac:dyDescent="0.35">
      <c r="A25" s="1">
        <v>201898</v>
      </c>
      <c r="B25" t="s">
        <v>102</v>
      </c>
      <c r="C25" t="s">
        <v>103</v>
      </c>
      <c r="D25" t="s">
        <v>17</v>
      </c>
      <c r="E25" t="s">
        <v>32</v>
      </c>
      <c r="F25" t="s">
        <v>71</v>
      </c>
      <c r="G25" s="30">
        <v>44399</v>
      </c>
      <c r="I25" s="1" t="str">
        <v>ARMANDO FLORES GAYTAN</v>
      </c>
      <c r="K25" s="1">
        <v>201898</v>
      </c>
      <c r="L25" t="s">
        <v>104</v>
      </c>
      <c r="M25" t="s">
        <v>71</v>
      </c>
    </row>
    <row r="26" spans="1:13" x14ac:dyDescent="0.35">
      <c r="A26" s="1">
        <v>201930</v>
      </c>
      <c r="B26" t="s">
        <v>105</v>
      </c>
      <c r="C26" t="s">
        <v>106</v>
      </c>
      <c r="D26" t="s">
        <v>31</v>
      </c>
      <c r="E26" t="s">
        <v>32</v>
      </c>
      <c r="F26" t="s">
        <v>33</v>
      </c>
      <c r="G26" s="30">
        <v>44399</v>
      </c>
      <c r="I26" s="1" t="str">
        <v>ARTURO VELARDE ANGULO</v>
      </c>
      <c r="K26" s="1">
        <v>201930</v>
      </c>
      <c r="L26" t="s">
        <v>107</v>
      </c>
      <c r="M26" t="s">
        <v>33</v>
      </c>
    </row>
    <row r="27" spans="1:13" x14ac:dyDescent="0.35">
      <c r="A27" s="1">
        <v>202012</v>
      </c>
      <c r="B27" t="s">
        <v>108</v>
      </c>
      <c r="C27" t="s">
        <v>109</v>
      </c>
      <c r="D27" t="s">
        <v>31</v>
      </c>
      <c r="E27" t="s">
        <v>32</v>
      </c>
      <c r="F27" t="s">
        <v>33</v>
      </c>
      <c r="G27" s="30">
        <v>44708</v>
      </c>
      <c r="I27" s="1" t="str">
        <v>BARTOLO CHAVEZ MORENO</v>
      </c>
      <c r="K27" s="1">
        <v>202012</v>
      </c>
      <c r="L27" t="s">
        <v>110</v>
      </c>
      <c r="M27" t="s">
        <v>33</v>
      </c>
    </row>
    <row r="28" spans="1:13" x14ac:dyDescent="0.35">
      <c r="A28" s="1">
        <v>202091</v>
      </c>
      <c r="B28" t="s">
        <v>111</v>
      </c>
      <c r="C28" t="s">
        <v>47</v>
      </c>
      <c r="D28" t="s">
        <v>16</v>
      </c>
      <c r="E28" t="s">
        <v>32</v>
      </c>
      <c r="F28" t="s">
        <v>48</v>
      </c>
      <c r="G28" s="30">
        <v>44399</v>
      </c>
      <c r="I28" s="1" t="str">
        <v>BARTOLO MAYORGAN BRAVO</v>
      </c>
      <c r="K28" s="1">
        <v>202091</v>
      </c>
      <c r="L28" t="s">
        <v>112</v>
      </c>
      <c r="M28" t="s">
        <v>48</v>
      </c>
    </row>
    <row r="29" spans="1:13" x14ac:dyDescent="0.35">
      <c r="A29" s="1">
        <v>202150</v>
      </c>
      <c r="B29" t="s">
        <v>113</v>
      </c>
      <c r="C29" t="s">
        <v>114</v>
      </c>
      <c r="D29" t="s">
        <v>115</v>
      </c>
      <c r="E29" t="s">
        <v>38</v>
      </c>
      <c r="F29" t="s">
        <v>61</v>
      </c>
      <c r="G29" s="30">
        <v>44924</v>
      </c>
      <c r="I29" s="1" t="str">
        <v>BARTOLO MAYORGAN GARCIA</v>
      </c>
      <c r="K29" s="1">
        <v>202150</v>
      </c>
      <c r="L29" t="s">
        <v>116</v>
      </c>
      <c r="M29" t="s">
        <v>61</v>
      </c>
    </row>
    <row r="30" spans="1:13" x14ac:dyDescent="0.35">
      <c r="A30" s="1">
        <v>202168</v>
      </c>
      <c r="B30" t="s">
        <v>117</v>
      </c>
      <c r="C30" t="s">
        <v>118</v>
      </c>
      <c r="D30" t="s">
        <v>37</v>
      </c>
      <c r="E30" t="s">
        <v>38</v>
      </c>
      <c r="F30" t="s">
        <v>39</v>
      </c>
      <c r="G30" s="30">
        <v>44399</v>
      </c>
      <c r="I30" s="1" t="str">
        <v>BEATRIZ ANGELICA TAPIZ CONTRERAS</v>
      </c>
      <c r="K30" s="1">
        <v>202168</v>
      </c>
      <c r="L30" t="s">
        <v>119</v>
      </c>
      <c r="M30" t="s">
        <v>39</v>
      </c>
    </row>
    <row r="31" spans="1:13" x14ac:dyDescent="0.35">
      <c r="A31" s="1">
        <v>202188</v>
      </c>
      <c r="B31" t="s">
        <v>120</v>
      </c>
      <c r="C31" t="s">
        <v>121</v>
      </c>
      <c r="D31" t="s">
        <v>16</v>
      </c>
      <c r="E31" t="s">
        <v>32</v>
      </c>
      <c r="F31" t="s">
        <v>92</v>
      </c>
      <c r="G31" s="30">
        <v>45064</v>
      </c>
      <c r="I31" s="1" t="str">
        <v>BERTIN FERNANDO LEAL DE JESUS</v>
      </c>
      <c r="K31" s="1">
        <v>202188</v>
      </c>
      <c r="L31" t="s">
        <v>122</v>
      </c>
      <c r="M31" t="s">
        <v>92</v>
      </c>
    </row>
    <row r="32" spans="1:13" x14ac:dyDescent="0.35">
      <c r="A32" s="1">
        <v>202196</v>
      </c>
      <c r="B32" t="s">
        <v>123</v>
      </c>
      <c r="C32" t="s">
        <v>124</v>
      </c>
      <c r="D32" t="s">
        <v>125</v>
      </c>
      <c r="E32" t="s">
        <v>38</v>
      </c>
      <c r="F32" t="s">
        <v>126</v>
      </c>
      <c r="G32" s="30">
        <v>44399</v>
      </c>
      <c r="I32" s="1" t="str">
        <v>BLANCA ARMIDA LOPEZ CORRAL</v>
      </c>
      <c r="K32" s="1">
        <v>202196</v>
      </c>
      <c r="L32" t="s">
        <v>127</v>
      </c>
      <c r="M32" t="s">
        <v>126</v>
      </c>
    </row>
    <row r="33" spans="1:13" x14ac:dyDescent="0.35">
      <c r="A33" s="1">
        <v>202244</v>
      </c>
      <c r="B33" t="s">
        <v>128</v>
      </c>
      <c r="C33" t="s">
        <v>129</v>
      </c>
      <c r="D33" t="s">
        <v>20</v>
      </c>
      <c r="E33" t="s">
        <v>38</v>
      </c>
      <c r="F33" t="s">
        <v>61</v>
      </c>
      <c r="G33" s="30">
        <v>44399</v>
      </c>
      <c r="I33" s="1" t="str">
        <v>BRYAN ALEXIS GONZALEZ CASTRO</v>
      </c>
      <c r="K33" s="1">
        <v>202244</v>
      </c>
      <c r="L33" t="s">
        <v>130</v>
      </c>
      <c r="M33" t="s">
        <v>61</v>
      </c>
    </row>
    <row r="34" spans="1:13" x14ac:dyDescent="0.35">
      <c r="A34" s="1">
        <v>202247</v>
      </c>
      <c r="B34" t="s">
        <v>131</v>
      </c>
      <c r="C34" t="s">
        <v>132</v>
      </c>
      <c r="D34" t="s">
        <v>31</v>
      </c>
      <c r="E34" t="s">
        <v>32</v>
      </c>
      <c r="F34" t="s">
        <v>33</v>
      </c>
      <c r="G34" s="30">
        <v>44802</v>
      </c>
      <c r="I34" s="1" t="str">
        <v>CAMERINO VASQUEZ APARICIO</v>
      </c>
      <c r="K34" s="1">
        <v>202247</v>
      </c>
      <c r="L34" t="s">
        <v>133</v>
      </c>
      <c r="M34" t="s">
        <v>33</v>
      </c>
    </row>
    <row r="35" spans="1:13" x14ac:dyDescent="0.35">
      <c r="A35" s="1">
        <v>202252</v>
      </c>
      <c r="B35" t="s">
        <v>134</v>
      </c>
      <c r="C35" t="s">
        <v>103</v>
      </c>
      <c r="D35" t="s">
        <v>17</v>
      </c>
      <c r="E35" t="s">
        <v>32</v>
      </c>
      <c r="F35" t="s">
        <v>71</v>
      </c>
      <c r="G35" s="30">
        <v>44399</v>
      </c>
      <c r="I35" s="1" t="str">
        <v>CARLOS ALBERTO CALDERON AVOYTES</v>
      </c>
      <c r="K35" s="1">
        <v>202252</v>
      </c>
      <c r="L35" t="s">
        <v>135</v>
      </c>
      <c r="M35" t="s">
        <v>71</v>
      </c>
    </row>
    <row r="36" spans="1:13" x14ac:dyDescent="0.35">
      <c r="A36" s="1">
        <v>202285</v>
      </c>
      <c r="B36" t="s">
        <v>136</v>
      </c>
      <c r="C36" t="s">
        <v>137</v>
      </c>
      <c r="D36" t="s">
        <v>37</v>
      </c>
      <c r="E36" t="s">
        <v>38</v>
      </c>
      <c r="F36" t="s">
        <v>39</v>
      </c>
      <c r="G36" s="30">
        <v>44399</v>
      </c>
      <c r="I36" s="1" t="str">
        <v>CARLOS ANTONIO GONZALEZ ARELLANO</v>
      </c>
      <c r="K36" s="1">
        <v>202285</v>
      </c>
      <c r="L36" t="s">
        <v>138</v>
      </c>
      <c r="M36" t="s">
        <v>39</v>
      </c>
    </row>
    <row r="37" spans="1:13" x14ac:dyDescent="0.35">
      <c r="A37" s="1">
        <v>202344</v>
      </c>
      <c r="B37" t="s">
        <v>139</v>
      </c>
      <c r="C37" t="s">
        <v>140</v>
      </c>
      <c r="D37" t="s">
        <v>37</v>
      </c>
      <c r="E37" t="s">
        <v>38</v>
      </c>
      <c r="F37" t="s">
        <v>39</v>
      </c>
      <c r="G37" s="30">
        <v>44399</v>
      </c>
      <c r="I37" s="1" t="str">
        <v>CARLOS DANIEL GALLEGOS MORALES</v>
      </c>
      <c r="K37" s="1">
        <v>202344</v>
      </c>
      <c r="L37" t="s">
        <v>141</v>
      </c>
      <c r="M37" t="s">
        <v>39</v>
      </c>
    </row>
    <row r="38" spans="1:13" x14ac:dyDescent="0.35">
      <c r="A38" s="1">
        <v>202352</v>
      </c>
      <c r="B38" t="s">
        <v>142</v>
      </c>
      <c r="C38" t="s">
        <v>137</v>
      </c>
      <c r="D38" t="s">
        <v>31</v>
      </c>
      <c r="E38" t="s">
        <v>32</v>
      </c>
      <c r="F38" t="s">
        <v>33</v>
      </c>
      <c r="G38" s="30">
        <v>44399</v>
      </c>
      <c r="I38" s="1" t="str">
        <v>CARLOS EMMANUEL PEREZ ALVARADO</v>
      </c>
      <c r="K38" s="1">
        <v>202352</v>
      </c>
      <c r="L38" t="s">
        <v>143</v>
      </c>
      <c r="M38" t="s">
        <v>33</v>
      </c>
    </row>
    <row r="39" spans="1:13" x14ac:dyDescent="0.35">
      <c r="A39" s="1">
        <v>202358</v>
      </c>
      <c r="B39" t="s">
        <v>144</v>
      </c>
      <c r="C39" t="s">
        <v>145</v>
      </c>
      <c r="D39" t="s">
        <v>21</v>
      </c>
      <c r="E39" t="s">
        <v>43</v>
      </c>
      <c r="F39" t="s">
        <v>146</v>
      </c>
      <c r="G39" s="30">
        <v>44952</v>
      </c>
      <c r="I39" s="1" t="str">
        <v>CARLOS ENRIQUE CARRILLO QUINTERO</v>
      </c>
      <c r="K39" s="1">
        <v>202358</v>
      </c>
      <c r="L39" t="s">
        <v>147</v>
      </c>
      <c r="M39" t="s">
        <v>146</v>
      </c>
    </row>
    <row r="40" spans="1:13" x14ac:dyDescent="0.35">
      <c r="A40" s="1">
        <v>202425</v>
      </c>
      <c r="B40" t="s">
        <v>148</v>
      </c>
      <c r="C40" t="s">
        <v>149</v>
      </c>
      <c r="D40" t="s">
        <v>125</v>
      </c>
      <c r="E40" t="s">
        <v>38</v>
      </c>
      <c r="F40" t="s">
        <v>126</v>
      </c>
      <c r="G40" s="30">
        <v>44399</v>
      </c>
      <c r="I40" s="1" t="str">
        <v>CARLOS FELIX CUE CRUZ</v>
      </c>
      <c r="K40" s="1">
        <v>202425</v>
      </c>
      <c r="L40" t="s">
        <v>150</v>
      </c>
      <c r="M40" t="s">
        <v>126</v>
      </c>
    </row>
    <row r="41" spans="1:13" x14ac:dyDescent="0.35">
      <c r="A41" s="1">
        <v>202437</v>
      </c>
      <c r="B41" t="s">
        <v>151</v>
      </c>
      <c r="C41" t="s">
        <v>121</v>
      </c>
      <c r="D41" t="s">
        <v>16</v>
      </c>
      <c r="E41" t="s">
        <v>32</v>
      </c>
      <c r="F41" t="s">
        <v>152</v>
      </c>
      <c r="G41" s="30">
        <v>44694</v>
      </c>
      <c r="I41" s="1" t="str">
        <v>CARLOS HUMBERTO AGUILAR ALFARO</v>
      </c>
      <c r="K41" s="1">
        <v>202437</v>
      </c>
      <c r="L41" t="s">
        <v>153</v>
      </c>
      <c r="M41" t="s">
        <v>152</v>
      </c>
    </row>
    <row r="42" spans="1:13" x14ac:dyDescent="0.35">
      <c r="A42" s="1">
        <v>202480</v>
      </c>
      <c r="B42" t="s">
        <v>154</v>
      </c>
      <c r="C42" t="s">
        <v>47</v>
      </c>
      <c r="D42" t="s">
        <v>16</v>
      </c>
      <c r="E42" t="s">
        <v>32</v>
      </c>
      <c r="F42" t="s">
        <v>55</v>
      </c>
      <c r="G42" s="30">
        <v>44399</v>
      </c>
      <c r="I42" s="1" t="str">
        <v>CARLOS JULIAN WENCES LOPEZ</v>
      </c>
      <c r="K42" s="1">
        <v>202480</v>
      </c>
      <c r="L42" t="s">
        <v>155</v>
      </c>
      <c r="M42" t="s">
        <v>55</v>
      </c>
    </row>
    <row r="43" spans="1:13" x14ac:dyDescent="0.35">
      <c r="A43" s="1">
        <v>202512</v>
      </c>
      <c r="B43" t="s">
        <v>156</v>
      </c>
      <c r="C43" t="s">
        <v>47</v>
      </c>
      <c r="D43" t="s">
        <v>54</v>
      </c>
      <c r="E43" t="s">
        <v>32</v>
      </c>
      <c r="F43" t="s">
        <v>157</v>
      </c>
      <c r="G43" s="30">
        <v>44399</v>
      </c>
      <c r="I43" s="1" t="str">
        <v>CARLOS URIEL CARMONA HERNANDEZ</v>
      </c>
      <c r="K43" s="1">
        <v>202512</v>
      </c>
      <c r="L43" t="s">
        <v>158</v>
      </c>
      <c r="M43" t="s">
        <v>157</v>
      </c>
    </row>
    <row r="44" spans="1:13" x14ac:dyDescent="0.35">
      <c r="A44" s="1">
        <v>202587</v>
      </c>
      <c r="B44" t="s">
        <v>159</v>
      </c>
      <c r="C44" t="s">
        <v>160</v>
      </c>
      <c r="D44" t="s">
        <v>161</v>
      </c>
      <c r="E44" t="s">
        <v>38</v>
      </c>
      <c r="F44" t="s">
        <v>162</v>
      </c>
      <c r="G44" s="30">
        <v>44399</v>
      </c>
      <c r="I44" s="1" t="str">
        <v>CARLOS VALDES PEDRAZA</v>
      </c>
      <c r="K44" s="1">
        <v>202587</v>
      </c>
      <c r="L44" t="s">
        <v>163</v>
      </c>
      <c r="M44" t="s">
        <v>162</v>
      </c>
    </row>
    <row r="45" spans="1:13" x14ac:dyDescent="0.35">
      <c r="A45" s="1">
        <v>202613</v>
      </c>
      <c r="B45" t="s">
        <v>164</v>
      </c>
      <c r="C45" t="s">
        <v>165</v>
      </c>
      <c r="D45" t="s">
        <v>87</v>
      </c>
      <c r="E45" t="s">
        <v>38</v>
      </c>
      <c r="F45" t="s">
        <v>88</v>
      </c>
      <c r="G45" s="30">
        <v>44399</v>
      </c>
      <c r="I45" s="1" t="str">
        <v>CARMELO GARCIA BRITO</v>
      </c>
      <c r="K45" s="1">
        <v>202613</v>
      </c>
      <c r="L45" t="s">
        <v>166</v>
      </c>
      <c r="M45" t="s">
        <v>88</v>
      </c>
    </row>
    <row r="46" spans="1:13" x14ac:dyDescent="0.35">
      <c r="A46" s="1">
        <v>202616</v>
      </c>
      <c r="B46" t="s">
        <v>167</v>
      </c>
      <c r="C46" t="s">
        <v>168</v>
      </c>
      <c r="D46" t="s">
        <v>16</v>
      </c>
      <c r="E46" t="s">
        <v>32</v>
      </c>
      <c r="F46" t="s">
        <v>92</v>
      </c>
      <c r="G46" s="30">
        <v>44399</v>
      </c>
      <c r="I46" s="1" t="str">
        <v>CESAR EDUARDO BELTRAN LOPEZ</v>
      </c>
      <c r="K46" s="1">
        <v>202616</v>
      </c>
      <c r="L46" t="s">
        <v>169</v>
      </c>
      <c r="M46" t="s">
        <v>92</v>
      </c>
    </row>
    <row r="47" spans="1:13" x14ac:dyDescent="0.35">
      <c r="A47" s="1">
        <v>202630</v>
      </c>
      <c r="B47" t="s">
        <v>170</v>
      </c>
      <c r="C47" t="s">
        <v>145</v>
      </c>
      <c r="D47" t="s">
        <v>21</v>
      </c>
      <c r="E47" t="s">
        <v>43</v>
      </c>
      <c r="F47" t="s">
        <v>44</v>
      </c>
      <c r="G47" s="30">
        <v>44399</v>
      </c>
      <c r="I47" s="1" t="str">
        <v>CESAR VAZQUEZ HERNANDEZ</v>
      </c>
      <c r="K47" s="1">
        <v>202630</v>
      </c>
      <c r="L47" t="s">
        <v>171</v>
      </c>
      <c r="M47" t="s">
        <v>44</v>
      </c>
    </row>
    <row r="48" spans="1:13" x14ac:dyDescent="0.35">
      <c r="A48" s="1">
        <v>202674</v>
      </c>
      <c r="B48" t="s">
        <v>172</v>
      </c>
      <c r="C48" t="s">
        <v>137</v>
      </c>
      <c r="D48" t="s">
        <v>54</v>
      </c>
      <c r="E48" t="s">
        <v>32</v>
      </c>
      <c r="F48" t="s">
        <v>48</v>
      </c>
      <c r="G48" s="30">
        <v>44961</v>
      </c>
      <c r="I48" s="1" t="str">
        <v>CRISTHIAN MANUEL BELTRAN GOMEN</v>
      </c>
      <c r="K48" s="1">
        <v>202674</v>
      </c>
      <c r="L48" t="s">
        <v>173</v>
      </c>
      <c r="M48" t="s">
        <v>48</v>
      </c>
    </row>
    <row r="49" spans="1:13" x14ac:dyDescent="0.35">
      <c r="A49" s="1">
        <v>202683</v>
      </c>
      <c r="B49" t="s">
        <v>174</v>
      </c>
      <c r="C49" t="s">
        <v>132</v>
      </c>
      <c r="D49" t="s">
        <v>31</v>
      </c>
      <c r="E49" t="s">
        <v>32</v>
      </c>
      <c r="F49" t="s">
        <v>33</v>
      </c>
      <c r="G49" s="30">
        <v>45233</v>
      </c>
      <c r="I49" s="1" t="str">
        <v>CRISTIAN ALEXIS NARANJO CHAVEZ</v>
      </c>
      <c r="K49" s="1">
        <v>202683</v>
      </c>
      <c r="L49" t="s">
        <v>175</v>
      </c>
      <c r="M49" t="s">
        <v>33</v>
      </c>
    </row>
    <row r="50" spans="1:13" x14ac:dyDescent="0.35">
      <c r="A50" s="1">
        <v>202717</v>
      </c>
      <c r="B50" t="s">
        <v>176</v>
      </c>
      <c r="C50" t="s">
        <v>177</v>
      </c>
      <c r="D50" t="s">
        <v>21</v>
      </c>
      <c r="E50" t="s">
        <v>43</v>
      </c>
      <c r="F50" t="s">
        <v>44</v>
      </c>
      <c r="G50" s="30">
        <v>45561</v>
      </c>
      <c r="I50" s="1" t="str">
        <v>DANIEL HERNANDEZ ALDANA</v>
      </c>
      <c r="K50" s="1">
        <v>202717</v>
      </c>
      <c r="L50" t="s">
        <v>178</v>
      </c>
      <c r="M50" t="s">
        <v>44</v>
      </c>
    </row>
    <row r="51" spans="1:13" x14ac:dyDescent="0.35">
      <c r="A51" s="1">
        <v>202725</v>
      </c>
      <c r="B51" t="s">
        <v>179</v>
      </c>
      <c r="C51" t="s">
        <v>160</v>
      </c>
      <c r="D51" t="s">
        <v>161</v>
      </c>
      <c r="E51" t="s">
        <v>38</v>
      </c>
      <c r="F51" t="s">
        <v>162</v>
      </c>
      <c r="G51" s="30">
        <v>44399</v>
      </c>
      <c r="I51" s="1" t="str">
        <v>DARINEL MORENO MORALES</v>
      </c>
      <c r="K51" s="1">
        <v>202725</v>
      </c>
      <c r="L51" t="s">
        <v>180</v>
      </c>
      <c r="M51" t="s">
        <v>162</v>
      </c>
    </row>
    <row r="52" spans="1:13" x14ac:dyDescent="0.35">
      <c r="A52" s="1">
        <v>202786</v>
      </c>
      <c r="B52" t="s">
        <v>181</v>
      </c>
      <c r="C52" t="s">
        <v>182</v>
      </c>
      <c r="D52" t="s">
        <v>37</v>
      </c>
      <c r="E52" t="s">
        <v>38</v>
      </c>
      <c r="F52" t="s">
        <v>39</v>
      </c>
      <c r="G52" s="30">
        <v>44399</v>
      </c>
      <c r="I52" s="1" t="str">
        <v>DELFINO CAMACHO VASQUEZ</v>
      </c>
      <c r="K52" s="1">
        <v>202786</v>
      </c>
      <c r="L52" t="s">
        <v>183</v>
      </c>
      <c r="M52" t="s">
        <v>39</v>
      </c>
    </row>
    <row r="53" spans="1:13" x14ac:dyDescent="0.35">
      <c r="A53" s="1">
        <v>202835</v>
      </c>
      <c r="B53" t="s">
        <v>184</v>
      </c>
      <c r="C53" t="s">
        <v>185</v>
      </c>
      <c r="D53" t="s">
        <v>161</v>
      </c>
      <c r="E53" t="s">
        <v>38</v>
      </c>
      <c r="F53" t="s">
        <v>162</v>
      </c>
      <c r="G53" s="30">
        <v>44399</v>
      </c>
      <c r="I53" s="1" t="str">
        <v>DELFINO SANCHEZ HERNANDEZ</v>
      </c>
      <c r="K53" s="1">
        <v>202835</v>
      </c>
      <c r="L53" t="s">
        <v>186</v>
      </c>
      <c r="M53" t="s">
        <v>162</v>
      </c>
    </row>
    <row r="54" spans="1:13" x14ac:dyDescent="0.35">
      <c r="A54" s="1">
        <v>202902</v>
      </c>
      <c r="B54" t="s">
        <v>187</v>
      </c>
      <c r="C54" t="s">
        <v>42</v>
      </c>
      <c r="D54" t="s">
        <v>21</v>
      </c>
      <c r="E54" t="s">
        <v>43</v>
      </c>
      <c r="F54" t="s">
        <v>44</v>
      </c>
      <c r="G54" s="30">
        <v>44399</v>
      </c>
      <c r="I54" s="1" t="str">
        <v>DIEGO GUADALUPE BUSTOS GUTIERREZ</v>
      </c>
      <c r="K54" s="1">
        <v>202902</v>
      </c>
      <c r="L54" t="s">
        <v>188</v>
      </c>
      <c r="M54" t="s">
        <v>44</v>
      </c>
    </row>
    <row r="55" spans="1:13" x14ac:dyDescent="0.35">
      <c r="A55" s="1">
        <v>202932</v>
      </c>
      <c r="B55" t="s">
        <v>189</v>
      </c>
      <c r="C55" t="s">
        <v>190</v>
      </c>
      <c r="D55" t="s">
        <v>17</v>
      </c>
      <c r="E55" t="s">
        <v>32</v>
      </c>
      <c r="F55" t="s">
        <v>71</v>
      </c>
      <c r="G55" s="30">
        <v>45015</v>
      </c>
      <c r="I55" s="1" t="str">
        <v>DILOY GONZALEZ CASTAÑEDA</v>
      </c>
      <c r="K55" s="1">
        <v>202932</v>
      </c>
      <c r="L55" t="s">
        <v>191</v>
      </c>
      <c r="M55" t="s">
        <v>71</v>
      </c>
    </row>
    <row r="56" spans="1:13" x14ac:dyDescent="0.35">
      <c r="A56" s="1">
        <v>202943</v>
      </c>
      <c r="B56" t="s">
        <v>192</v>
      </c>
      <c r="C56" t="s">
        <v>193</v>
      </c>
      <c r="D56" t="s">
        <v>194</v>
      </c>
      <c r="E56" t="s">
        <v>38</v>
      </c>
      <c r="F56" t="s">
        <v>195</v>
      </c>
      <c r="G56" s="30">
        <v>44924</v>
      </c>
      <c r="I56" s="1" t="str">
        <v>EDER GONZALEZ RUBIO</v>
      </c>
      <c r="K56" s="1">
        <v>202943</v>
      </c>
      <c r="L56" t="s">
        <v>196</v>
      </c>
      <c r="M56" t="s">
        <v>195</v>
      </c>
    </row>
    <row r="57" spans="1:13" x14ac:dyDescent="0.35">
      <c r="A57" s="1">
        <v>202959</v>
      </c>
      <c r="B57" t="s">
        <v>197</v>
      </c>
      <c r="C57" t="s">
        <v>198</v>
      </c>
      <c r="D57" t="s">
        <v>125</v>
      </c>
      <c r="E57" t="s">
        <v>38</v>
      </c>
      <c r="F57" t="s">
        <v>126</v>
      </c>
      <c r="G57" s="30">
        <v>44399</v>
      </c>
      <c r="I57" s="1" t="str">
        <v>EDGAR FABIAN LEON AGUILAR</v>
      </c>
      <c r="K57" s="1">
        <v>202959</v>
      </c>
      <c r="L57" t="s">
        <v>199</v>
      </c>
      <c r="M57" t="s">
        <v>126</v>
      </c>
    </row>
    <row r="58" spans="1:13" x14ac:dyDescent="0.35">
      <c r="A58" s="1">
        <v>202960</v>
      </c>
      <c r="B58" t="s">
        <v>200</v>
      </c>
      <c r="C58" t="s">
        <v>140</v>
      </c>
      <c r="D58" t="s">
        <v>37</v>
      </c>
      <c r="E58" t="s">
        <v>38</v>
      </c>
      <c r="F58" t="s">
        <v>39</v>
      </c>
      <c r="G58" s="30">
        <v>44399</v>
      </c>
      <c r="I58" s="1" t="str">
        <v>EDGAR MANUEL ACOSTA AVILES</v>
      </c>
      <c r="K58" s="1">
        <v>202960</v>
      </c>
      <c r="L58" t="s">
        <v>201</v>
      </c>
      <c r="M58" t="s">
        <v>39</v>
      </c>
    </row>
    <row r="59" spans="1:13" x14ac:dyDescent="0.35">
      <c r="A59" s="1">
        <v>202971</v>
      </c>
      <c r="B59" t="s">
        <v>202</v>
      </c>
      <c r="C59" t="s">
        <v>177</v>
      </c>
      <c r="D59" t="s">
        <v>21</v>
      </c>
      <c r="E59" t="s">
        <v>43</v>
      </c>
      <c r="F59" t="s">
        <v>44</v>
      </c>
      <c r="G59" s="30">
        <v>44399</v>
      </c>
      <c r="I59" s="1" t="str">
        <v>EDUARDO HERNANDEZ MOLINA</v>
      </c>
      <c r="K59" s="1">
        <v>202971</v>
      </c>
      <c r="L59" t="s">
        <v>203</v>
      </c>
      <c r="M59" t="s">
        <v>44</v>
      </c>
    </row>
    <row r="60" spans="1:13" x14ac:dyDescent="0.35">
      <c r="A60" s="1">
        <v>202990</v>
      </c>
      <c r="B60" t="s">
        <v>204</v>
      </c>
      <c r="C60" t="s">
        <v>140</v>
      </c>
      <c r="D60" t="s">
        <v>37</v>
      </c>
      <c r="E60" t="s">
        <v>38</v>
      </c>
      <c r="F60" t="s">
        <v>39</v>
      </c>
      <c r="G60" s="30">
        <v>44399</v>
      </c>
      <c r="I60" s="1" t="str">
        <v>EDUARDO ITURBE ALONSO</v>
      </c>
      <c r="K60" s="1">
        <v>202990</v>
      </c>
      <c r="L60" t="s">
        <v>205</v>
      </c>
      <c r="M60" t="s">
        <v>39</v>
      </c>
    </row>
    <row r="61" spans="1:13" x14ac:dyDescent="0.35">
      <c r="A61" s="1">
        <v>202993</v>
      </c>
      <c r="B61" t="s">
        <v>206</v>
      </c>
      <c r="C61" t="s">
        <v>118</v>
      </c>
      <c r="D61" t="s">
        <v>37</v>
      </c>
      <c r="E61" t="s">
        <v>38</v>
      </c>
      <c r="F61" t="s">
        <v>39</v>
      </c>
      <c r="G61" s="30">
        <v>45166</v>
      </c>
      <c r="I61" s="1" t="str">
        <v>EDUARDO MEZA CEDENO</v>
      </c>
      <c r="K61" s="1">
        <v>202993</v>
      </c>
      <c r="L61" t="s">
        <v>207</v>
      </c>
      <c r="M61" t="s">
        <v>39</v>
      </c>
    </row>
    <row r="62" spans="1:13" x14ac:dyDescent="0.35">
      <c r="A62" s="1">
        <v>203031</v>
      </c>
      <c r="B62" t="s">
        <v>208</v>
      </c>
      <c r="C62" t="s">
        <v>121</v>
      </c>
      <c r="D62" t="s">
        <v>16</v>
      </c>
      <c r="E62" t="s">
        <v>32</v>
      </c>
      <c r="F62" t="s">
        <v>92</v>
      </c>
      <c r="G62" s="30">
        <v>44399</v>
      </c>
      <c r="I62" s="1" t="str">
        <v>EDUARDO PACHECO HERNANDEZ</v>
      </c>
      <c r="K62" s="1">
        <v>203031</v>
      </c>
      <c r="L62" t="s">
        <v>209</v>
      </c>
      <c r="M62" t="s">
        <v>92</v>
      </c>
    </row>
    <row r="63" spans="1:13" x14ac:dyDescent="0.35">
      <c r="A63" s="1">
        <v>203038</v>
      </c>
      <c r="B63" t="s">
        <v>210</v>
      </c>
      <c r="C63" t="s">
        <v>132</v>
      </c>
      <c r="D63" t="s">
        <v>31</v>
      </c>
      <c r="E63" t="s">
        <v>32</v>
      </c>
      <c r="F63" t="s">
        <v>33</v>
      </c>
      <c r="G63" s="30">
        <v>45141</v>
      </c>
      <c r="I63" s="1" t="str">
        <v>ELEAZAR ARTEAGA CRUZ</v>
      </c>
      <c r="K63" s="1">
        <v>203038</v>
      </c>
      <c r="L63" t="s">
        <v>211</v>
      </c>
      <c r="M63" t="s">
        <v>33</v>
      </c>
    </row>
    <row r="64" spans="1:13" x14ac:dyDescent="0.35">
      <c r="A64" s="1">
        <v>203046</v>
      </c>
      <c r="B64" t="s">
        <v>212</v>
      </c>
      <c r="C64" t="s">
        <v>95</v>
      </c>
      <c r="D64" t="s">
        <v>17</v>
      </c>
      <c r="E64" t="s">
        <v>32</v>
      </c>
      <c r="F64" t="s">
        <v>71</v>
      </c>
      <c r="G64" s="30">
        <v>44399</v>
      </c>
      <c r="I64" s="1" t="str">
        <v>ELISEO AREVALO ESPINOZA</v>
      </c>
      <c r="K64" s="1">
        <v>203046</v>
      </c>
      <c r="L64" t="s">
        <v>213</v>
      </c>
      <c r="M64" t="s">
        <v>71</v>
      </c>
    </row>
    <row r="65" spans="1:13" x14ac:dyDescent="0.35">
      <c r="A65" s="1">
        <v>203050</v>
      </c>
      <c r="B65" t="s">
        <v>214</v>
      </c>
      <c r="C65" t="s">
        <v>77</v>
      </c>
      <c r="D65" t="s">
        <v>37</v>
      </c>
      <c r="E65" t="s">
        <v>38</v>
      </c>
      <c r="F65" t="s">
        <v>39</v>
      </c>
      <c r="G65" s="30">
        <v>45477</v>
      </c>
      <c r="I65" s="1" t="str">
        <v>ENRIQUE CAÑEZ OROZCO</v>
      </c>
      <c r="K65" s="1">
        <v>203050</v>
      </c>
      <c r="L65" t="s">
        <v>215</v>
      </c>
      <c r="M65" t="s">
        <v>39</v>
      </c>
    </row>
    <row r="66" spans="1:13" x14ac:dyDescent="0.35">
      <c r="A66" s="1">
        <v>203086</v>
      </c>
      <c r="B66" t="s">
        <v>216</v>
      </c>
      <c r="C66" t="s">
        <v>77</v>
      </c>
      <c r="D66" t="s">
        <v>78</v>
      </c>
      <c r="E66" t="s">
        <v>38</v>
      </c>
      <c r="F66" t="s">
        <v>79</v>
      </c>
      <c r="G66" s="30">
        <v>44399</v>
      </c>
      <c r="I66" s="1" t="str">
        <v>ENRIQUE REYES BELTRAN</v>
      </c>
      <c r="K66" s="1">
        <v>203086</v>
      </c>
      <c r="L66" t="s">
        <v>217</v>
      </c>
      <c r="M66" t="s">
        <v>79</v>
      </c>
    </row>
    <row r="67" spans="1:13" x14ac:dyDescent="0.35">
      <c r="A67" s="1">
        <v>203135</v>
      </c>
      <c r="B67" t="s">
        <v>218</v>
      </c>
      <c r="C67" t="s">
        <v>219</v>
      </c>
      <c r="D67" t="s">
        <v>17</v>
      </c>
      <c r="E67" t="s">
        <v>32</v>
      </c>
      <c r="F67" t="s">
        <v>71</v>
      </c>
      <c r="G67" s="30">
        <v>44399</v>
      </c>
      <c r="I67" s="1" t="str">
        <v>ERASTO SANTANA ARCIGA</v>
      </c>
      <c r="K67" s="1">
        <v>203135</v>
      </c>
      <c r="L67" t="s">
        <v>220</v>
      </c>
      <c r="M67" t="s">
        <v>71</v>
      </c>
    </row>
    <row r="68" spans="1:13" x14ac:dyDescent="0.35">
      <c r="A68" s="1">
        <v>203153</v>
      </c>
      <c r="B68" t="s">
        <v>221</v>
      </c>
      <c r="C68" t="s">
        <v>222</v>
      </c>
      <c r="D68" t="s">
        <v>223</v>
      </c>
      <c r="E68" t="s">
        <v>38</v>
      </c>
      <c r="F68" t="s">
        <v>224</v>
      </c>
      <c r="G68" s="30">
        <v>44399</v>
      </c>
      <c r="I68" s="1" t="str">
        <v>ERICK MANUEL MORGADO PARRA</v>
      </c>
      <c r="K68" s="1">
        <v>203153</v>
      </c>
      <c r="L68" t="s">
        <v>225</v>
      </c>
      <c r="M68" t="s">
        <v>224</v>
      </c>
    </row>
    <row r="69" spans="1:13" x14ac:dyDescent="0.35">
      <c r="A69" s="1">
        <v>203158</v>
      </c>
      <c r="B69" t="s">
        <v>226</v>
      </c>
      <c r="C69" t="s">
        <v>219</v>
      </c>
      <c r="D69" t="s">
        <v>17</v>
      </c>
      <c r="E69" t="s">
        <v>32</v>
      </c>
      <c r="F69" t="s">
        <v>71</v>
      </c>
      <c r="G69" s="30">
        <v>44399</v>
      </c>
      <c r="I69" s="1" t="str">
        <v>ERNESTO GONZALEZ MORALES</v>
      </c>
      <c r="K69" s="1">
        <v>203158</v>
      </c>
      <c r="L69" t="s">
        <v>227</v>
      </c>
      <c r="M69" t="s">
        <v>71</v>
      </c>
    </row>
    <row r="70" spans="1:13" x14ac:dyDescent="0.35">
      <c r="A70" s="1">
        <v>203163</v>
      </c>
      <c r="B70" t="s">
        <v>228</v>
      </c>
      <c r="C70" t="s">
        <v>121</v>
      </c>
      <c r="D70" t="s">
        <v>16</v>
      </c>
      <c r="E70" t="s">
        <v>32</v>
      </c>
      <c r="F70" t="s">
        <v>152</v>
      </c>
      <c r="G70" s="30">
        <v>44399</v>
      </c>
      <c r="I70" s="1" t="str">
        <v>ESAU GAMALIEL URIARTE DUARTE</v>
      </c>
      <c r="K70" s="1">
        <v>203163</v>
      </c>
      <c r="L70" t="s">
        <v>229</v>
      </c>
      <c r="M70" t="s">
        <v>152</v>
      </c>
    </row>
    <row r="71" spans="1:13" x14ac:dyDescent="0.35">
      <c r="A71" s="1">
        <v>203180</v>
      </c>
      <c r="B71" t="s">
        <v>230</v>
      </c>
      <c r="C71" t="s">
        <v>86</v>
      </c>
      <c r="D71" t="s">
        <v>87</v>
      </c>
      <c r="E71" t="s">
        <v>38</v>
      </c>
      <c r="F71" t="s">
        <v>88</v>
      </c>
      <c r="G71" s="30">
        <v>44399</v>
      </c>
      <c r="I71" s="1" t="str">
        <v>EZEQUIEL EDUARDO POSADA FLORES</v>
      </c>
      <c r="K71" s="1">
        <v>203180</v>
      </c>
      <c r="L71" t="s">
        <v>231</v>
      </c>
      <c r="M71" t="s">
        <v>88</v>
      </c>
    </row>
    <row r="72" spans="1:13" x14ac:dyDescent="0.35">
      <c r="A72" s="1">
        <v>203192</v>
      </c>
      <c r="B72" t="s">
        <v>232</v>
      </c>
      <c r="C72" t="s">
        <v>219</v>
      </c>
      <c r="D72" t="s">
        <v>17</v>
      </c>
      <c r="E72" t="s">
        <v>32</v>
      </c>
      <c r="F72" t="s">
        <v>71</v>
      </c>
      <c r="G72" s="30">
        <v>44399</v>
      </c>
      <c r="I72" s="1" t="str">
        <v>FELIX GUTIERREZ ESTRADA</v>
      </c>
      <c r="K72" s="1">
        <v>203192</v>
      </c>
      <c r="L72" t="s">
        <v>233</v>
      </c>
      <c r="M72" t="s">
        <v>71</v>
      </c>
    </row>
    <row r="73" spans="1:13" x14ac:dyDescent="0.35">
      <c r="A73" s="1">
        <v>203208</v>
      </c>
      <c r="B73" t="s">
        <v>234</v>
      </c>
      <c r="C73" t="s">
        <v>235</v>
      </c>
      <c r="D73" t="s">
        <v>236</v>
      </c>
      <c r="E73" t="s">
        <v>38</v>
      </c>
      <c r="F73" t="s">
        <v>237</v>
      </c>
      <c r="G73" s="30">
        <v>45136</v>
      </c>
      <c r="I73" s="1" t="str">
        <v>FELIX GUTIERREZ VILLEGAS</v>
      </c>
      <c r="K73" s="1">
        <v>203208</v>
      </c>
      <c r="L73" t="s">
        <v>238</v>
      </c>
      <c r="M73" t="s">
        <v>237</v>
      </c>
    </row>
    <row r="74" spans="1:13" x14ac:dyDescent="0.35">
      <c r="A74" s="1">
        <v>203234</v>
      </c>
      <c r="B74" t="s">
        <v>239</v>
      </c>
      <c r="C74" t="s">
        <v>160</v>
      </c>
      <c r="D74" t="s">
        <v>161</v>
      </c>
      <c r="E74" t="s">
        <v>38</v>
      </c>
      <c r="F74" t="s">
        <v>162</v>
      </c>
      <c r="G74" s="30">
        <v>44399</v>
      </c>
      <c r="I74" s="1" t="str">
        <v>FERNANDO RAMIREZ NOLASCO</v>
      </c>
      <c r="K74" s="1">
        <v>203234</v>
      </c>
      <c r="L74" t="s">
        <v>240</v>
      </c>
      <c r="M74" t="s">
        <v>162</v>
      </c>
    </row>
    <row r="75" spans="1:13" x14ac:dyDescent="0.35">
      <c r="A75" s="1">
        <v>203260</v>
      </c>
      <c r="B75" t="s">
        <v>241</v>
      </c>
      <c r="C75" t="s">
        <v>242</v>
      </c>
      <c r="D75" t="s">
        <v>87</v>
      </c>
      <c r="E75" t="s">
        <v>43</v>
      </c>
      <c r="F75" t="s">
        <v>61</v>
      </c>
      <c r="G75" s="30">
        <v>44924</v>
      </c>
      <c r="I75" s="1" t="str">
        <v>FRANCISCO ALBERT BAUTISTA GUERRERO</v>
      </c>
      <c r="K75" s="1">
        <v>203260</v>
      </c>
      <c r="L75" t="s">
        <v>243</v>
      </c>
      <c r="M75" t="s">
        <v>61</v>
      </c>
    </row>
    <row r="76" spans="1:13" x14ac:dyDescent="0.35">
      <c r="A76" s="1">
        <v>203303</v>
      </c>
      <c r="B76" t="s">
        <v>244</v>
      </c>
      <c r="C76" t="s">
        <v>177</v>
      </c>
      <c r="D76" t="s">
        <v>21</v>
      </c>
      <c r="E76" t="s">
        <v>43</v>
      </c>
      <c r="F76" t="s">
        <v>44</v>
      </c>
      <c r="G76" s="30">
        <v>45365</v>
      </c>
      <c r="I76" s="1" t="str">
        <v>FRANCISCO ALEJANDRO TORRES LOPEZ</v>
      </c>
      <c r="K76" s="1">
        <v>203303</v>
      </c>
      <c r="L76" t="s">
        <v>245</v>
      </c>
      <c r="M76" t="s">
        <v>44</v>
      </c>
    </row>
    <row r="77" spans="1:13" x14ac:dyDescent="0.35">
      <c r="A77" s="1">
        <v>203308</v>
      </c>
      <c r="B77" t="s">
        <v>246</v>
      </c>
      <c r="C77" t="s">
        <v>168</v>
      </c>
      <c r="D77" t="s">
        <v>16</v>
      </c>
      <c r="E77" t="s">
        <v>32</v>
      </c>
      <c r="F77" t="s">
        <v>55</v>
      </c>
      <c r="G77" s="30">
        <v>45470</v>
      </c>
      <c r="I77" s="1" t="str">
        <v>FRANCISCO ANTONIO AGUILAR ARCEO</v>
      </c>
      <c r="K77" s="1">
        <v>203308</v>
      </c>
      <c r="L77" t="s">
        <v>247</v>
      </c>
      <c r="M77" t="s">
        <v>55</v>
      </c>
    </row>
    <row r="78" spans="1:13" x14ac:dyDescent="0.35">
      <c r="A78" s="1">
        <v>203346</v>
      </c>
      <c r="B78" t="s">
        <v>248</v>
      </c>
      <c r="C78" t="s">
        <v>249</v>
      </c>
      <c r="D78" t="s">
        <v>31</v>
      </c>
      <c r="E78" t="s">
        <v>32</v>
      </c>
      <c r="F78" t="s">
        <v>33</v>
      </c>
      <c r="G78" s="30">
        <v>44427</v>
      </c>
      <c r="I78" s="1" t="str">
        <v>FRANCISCO GONZALEZ GONZALEZ</v>
      </c>
      <c r="K78" s="1">
        <v>203346</v>
      </c>
      <c r="L78" t="s">
        <v>250</v>
      </c>
      <c r="M78" t="s">
        <v>33</v>
      </c>
    </row>
    <row r="79" spans="1:13" x14ac:dyDescent="0.35">
      <c r="A79" s="1">
        <v>203355</v>
      </c>
      <c r="B79" t="s">
        <v>251</v>
      </c>
      <c r="C79" t="s">
        <v>252</v>
      </c>
      <c r="D79" t="s">
        <v>37</v>
      </c>
      <c r="E79" t="s">
        <v>38</v>
      </c>
      <c r="F79" t="s">
        <v>39</v>
      </c>
      <c r="G79" s="30">
        <v>45456</v>
      </c>
      <c r="I79" s="1" t="str">
        <v>FRANCISCO JAVIER LARA SANDOVAL</v>
      </c>
      <c r="K79" s="1">
        <v>203355</v>
      </c>
      <c r="L79" t="s">
        <v>253</v>
      </c>
      <c r="M79" t="s">
        <v>39</v>
      </c>
    </row>
    <row r="80" spans="1:13" x14ac:dyDescent="0.35">
      <c r="A80" s="1">
        <v>203357</v>
      </c>
      <c r="B80" t="s">
        <v>254</v>
      </c>
      <c r="C80" t="s">
        <v>255</v>
      </c>
      <c r="D80" t="s">
        <v>21</v>
      </c>
      <c r="E80" t="s">
        <v>43</v>
      </c>
      <c r="F80" t="s">
        <v>146</v>
      </c>
      <c r="G80" s="30">
        <v>45632</v>
      </c>
      <c r="I80" s="1" t="str">
        <v>FRANCISCO LOPEZ SALUD</v>
      </c>
      <c r="K80" s="1">
        <v>203357</v>
      </c>
      <c r="L80" t="s">
        <v>256</v>
      </c>
      <c r="M80" t="s">
        <v>146</v>
      </c>
    </row>
    <row r="81" spans="1:13" x14ac:dyDescent="0.35">
      <c r="A81" s="1">
        <v>203379</v>
      </c>
      <c r="B81" t="s">
        <v>257</v>
      </c>
      <c r="C81" t="s">
        <v>132</v>
      </c>
      <c r="D81" t="s">
        <v>31</v>
      </c>
      <c r="E81" t="s">
        <v>32</v>
      </c>
      <c r="F81" t="s">
        <v>33</v>
      </c>
      <c r="G81" s="30">
        <v>45167</v>
      </c>
      <c r="I81" s="1" t="str">
        <v>FRANCISCO MARTINEZ CRISANTOS</v>
      </c>
      <c r="K81" s="1">
        <v>203379</v>
      </c>
      <c r="L81" t="s">
        <v>258</v>
      </c>
      <c r="M81" t="s">
        <v>33</v>
      </c>
    </row>
    <row r="82" spans="1:13" x14ac:dyDescent="0.35">
      <c r="A82" s="1">
        <v>203382</v>
      </c>
      <c r="B82" t="s">
        <v>259</v>
      </c>
      <c r="C82" t="s">
        <v>177</v>
      </c>
      <c r="D82" t="s">
        <v>21</v>
      </c>
      <c r="E82" t="s">
        <v>43</v>
      </c>
      <c r="F82" t="s">
        <v>44</v>
      </c>
      <c r="G82" s="30">
        <v>45460</v>
      </c>
      <c r="I82" s="1" t="str">
        <v>GABRIEL ANTONIO ARCE HIGUERA</v>
      </c>
      <c r="K82" s="1">
        <v>203382</v>
      </c>
      <c r="L82" t="s">
        <v>260</v>
      </c>
      <c r="M82" t="s">
        <v>44</v>
      </c>
    </row>
    <row r="83" spans="1:13" x14ac:dyDescent="0.35">
      <c r="A83" s="1">
        <v>203399</v>
      </c>
      <c r="B83" t="s">
        <v>261</v>
      </c>
      <c r="C83" t="s">
        <v>160</v>
      </c>
      <c r="D83" t="s">
        <v>161</v>
      </c>
      <c r="E83" t="s">
        <v>38</v>
      </c>
      <c r="F83" t="s">
        <v>162</v>
      </c>
      <c r="G83" s="30">
        <v>44511</v>
      </c>
      <c r="I83" s="1" t="str">
        <v>GABRIEL QUEVEDO ROCHIN</v>
      </c>
      <c r="K83" s="1">
        <v>203399</v>
      </c>
      <c r="L83" t="s">
        <v>262</v>
      </c>
      <c r="M83" t="s">
        <v>162</v>
      </c>
    </row>
    <row r="84" spans="1:13" x14ac:dyDescent="0.35">
      <c r="A84" s="1">
        <v>203413</v>
      </c>
      <c r="B84" t="s">
        <v>263</v>
      </c>
      <c r="C84" t="s">
        <v>132</v>
      </c>
      <c r="D84" t="s">
        <v>31</v>
      </c>
      <c r="E84" t="s">
        <v>32</v>
      </c>
      <c r="F84" t="s">
        <v>33</v>
      </c>
      <c r="G84" s="30">
        <v>45692</v>
      </c>
      <c r="I84" s="1" t="str">
        <v>GERARDO VILLA MUÑIZ</v>
      </c>
      <c r="K84" s="1">
        <v>203413</v>
      </c>
      <c r="L84" t="s">
        <v>264</v>
      </c>
      <c r="M84" t="s">
        <v>33</v>
      </c>
    </row>
    <row r="85" spans="1:13" x14ac:dyDescent="0.35">
      <c r="A85" s="1">
        <v>203425</v>
      </c>
      <c r="B85" t="s">
        <v>265</v>
      </c>
      <c r="C85" t="s">
        <v>121</v>
      </c>
      <c r="D85" t="s">
        <v>16</v>
      </c>
      <c r="E85" t="s">
        <v>32</v>
      </c>
      <c r="F85" t="s">
        <v>152</v>
      </c>
      <c r="G85" s="30">
        <v>44579</v>
      </c>
      <c r="I85" s="1" t="str">
        <v>GIBRAN AGUSTIN SERVIN SUAREZ</v>
      </c>
      <c r="K85" s="1">
        <v>203425</v>
      </c>
      <c r="L85" t="s">
        <v>266</v>
      </c>
      <c r="M85" t="s">
        <v>152</v>
      </c>
    </row>
    <row r="86" spans="1:13" x14ac:dyDescent="0.35">
      <c r="A86" s="1">
        <v>203430</v>
      </c>
      <c r="B86" t="s">
        <v>267</v>
      </c>
      <c r="C86" t="s">
        <v>160</v>
      </c>
      <c r="D86" t="s">
        <v>161</v>
      </c>
      <c r="E86" t="s">
        <v>38</v>
      </c>
      <c r="F86" t="s">
        <v>162</v>
      </c>
      <c r="G86" s="30">
        <v>44583</v>
      </c>
      <c r="I86" s="1" t="str">
        <v>GUILLERMO CISNEROS RODRIGUEZ</v>
      </c>
      <c r="K86" s="1">
        <v>203430</v>
      </c>
      <c r="L86" t="s">
        <v>268</v>
      </c>
      <c r="M86" t="s">
        <v>162</v>
      </c>
    </row>
    <row r="87" spans="1:13" x14ac:dyDescent="0.35">
      <c r="A87" s="1">
        <v>203450</v>
      </c>
      <c r="B87" t="s">
        <v>269</v>
      </c>
      <c r="C87" t="s">
        <v>47</v>
      </c>
      <c r="D87" t="s">
        <v>16</v>
      </c>
      <c r="E87" t="s">
        <v>32</v>
      </c>
      <c r="F87" t="s">
        <v>48</v>
      </c>
      <c r="G87" s="30">
        <v>44613</v>
      </c>
      <c r="I87" s="1" t="str">
        <v>GUSTAVO ALONSO MONCADA JIMENEZ</v>
      </c>
      <c r="K87" s="1">
        <v>203450</v>
      </c>
      <c r="L87" t="s">
        <v>270</v>
      </c>
      <c r="M87" t="s">
        <v>48</v>
      </c>
    </row>
    <row r="88" spans="1:13" x14ac:dyDescent="0.35">
      <c r="A88" s="1">
        <v>203459</v>
      </c>
      <c r="B88" t="s">
        <v>271</v>
      </c>
      <c r="C88" t="s">
        <v>121</v>
      </c>
      <c r="D88" t="s">
        <v>16</v>
      </c>
      <c r="E88" t="s">
        <v>32</v>
      </c>
      <c r="F88" t="s">
        <v>48</v>
      </c>
      <c r="G88" s="30">
        <v>44625</v>
      </c>
      <c r="I88" s="1" t="str">
        <v>GUSTAVO PEÑA HERNANDEZ</v>
      </c>
      <c r="K88" s="1">
        <v>203459</v>
      </c>
      <c r="L88" t="s">
        <v>272</v>
      </c>
      <c r="M88" t="s">
        <v>48</v>
      </c>
    </row>
    <row r="89" spans="1:13" x14ac:dyDescent="0.35">
      <c r="A89" s="1">
        <v>203583</v>
      </c>
      <c r="B89" t="s">
        <v>273</v>
      </c>
      <c r="C89" t="s">
        <v>168</v>
      </c>
      <c r="D89" t="s">
        <v>16</v>
      </c>
      <c r="E89" t="s">
        <v>32</v>
      </c>
      <c r="F89" t="s">
        <v>152</v>
      </c>
      <c r="G89" s="30">
        <v>44791</v>
      </c>
      <c r="I89" s="1" t="str">
        <v>GUSTAVO TREVIÑO SILVA</v>
      </c>
      <c r="K89" s="1">
        <v>203583</v>
      </c>
      <c r="L89" t="s">
        <v>274</v>
      </c>
      <c r="M89" t="s">
        <v>152</v>
      </c>
    </row>
    <row r="90" spans="1:13" x14ac:dyDescent="0.35">
      <c r="A90" s="1">
        <v>203585</v>
      </c>
      <c r="B90" t="s">
        <v>275</v>
      </c>
      <c r="C90" t="s">
        <v>121</v>
      </c>
      <c r="D90" t="s">
        <v>16</v>
      </c>
      <c r="E90" t="s">
        <v>32</v>
      </c>
      <c r="F90" t="s">
        <v>55</v>
      </c>
      <c r="G90" s="30">
        <v>44795</v>
      </c>
      <c r="I90" s="1" t="str">
        <v>HARRY MITSUO OSORIO MARISCAL</v>
      </c>
      <c r="K90" s="1">
        <v>203585</v>
      </c>
      <c r="L90" t="s">
        <v>276</v>
      </c>
      <c r="M90" t="s">
        <v>55</v>
      </c>
    </row>
    <row r="91" spans="1:13" x14ac:dyDescent="0.35">
      <c r="A91" s="1">
        <v>203607</v>
      </c>
      <c r="B91" t="s">
        <v>277</v>
      </c>
      <c r="C91" t="s">
        <v>132</v>
      </c>
      <c r="D91" t="s">
        <v>87</v>
      </c>
      <c r="E91" t="s">
        <v>38</v>
      </c>
      <c r="F91" t="s">
        <v>88</v>
      </c>
      <c r="G91" s="30">
        <v>45330</v>
      </c>
      <c r="I91" s="1" t="str">
        <v>HECTOR HERNANDEZ RAMIREZ</v>
      </c>
      <c r="K91" s="1">
        <v>203607</v>
      </c>
      <c r="L91" t="s">
        <v>278</v>
      </c>
      <c r="M91" t="s">
        <v>88</v>
      </c>
    </row>
    <row r="92" spans="1:13" x14ac:dyDescent="0.35">
      <c r="A92" s="1">
        <v>203630</v>
      </c>
      <c r="B92" t="s">
        <v>279</v>
      </c>
      <c r="C92" t="s">
        <v>280</v>
      </c>
      <c r="D92" t="s">
        <v>37</v>
      </c>
      <c r="E92" t="s">
        <v>38</v>
      </c>
      <c r="F92" t="s">
        <v>39</v>
      </c>
      <c r="G92" s="30">
        <v>45400</v>
      </c>
      <c r="I92" s="1" t="str">
        <v>HECTOR LEON SEPULVEDA</v>
      </c>
      <c r="K92" s="1">
        <v>203630</v>
      </c>
      <c r="L92" t="s">
        <v>281</v>
      </c>
      <c r="M92" t="s">
        <v>39</v>
      </c>
    </row>
    <row r="93" spans="1:13" x14ac:dyDescent="0.35">
      <c r="A93" s="1">
        <v>203637</v>
      </c>
      <c r="B93" t="s">
        <v>282</v>
      </c>
      <c r="C93" t="s">
        <v>132</v>
      </c>
      <c r="D93" t="s">
        <v>31</v>
      </c>
      <c r="E93" t="s">
        <v>32</v>
      </c>
      <c r="F93" t="s">
        <v>33</v>
      </c>
      <c r="G93" s="30">
        <v>44844</v>
      </c>
      <c r="I93" s="1" t="str">
        <v>HIRAM ALEJANDRO SARABIA CONTRERAS</v>
      </c>
      <c r="K93" s="1">
        <v>203637</v>
      </c>
      <c r="L93" t="s">
        <v>283</v>
      </c>
      <c r="M93" t="s">
        <v>33</v>
      </c>
    </row>
    <row r="94" spans="1:13" x14ac:dyDescent="0.35">
      <c r="A94" s="1">
        <v>203669</v>
      </c>
      <c r="B94" t="s">
        <v>284</v>
      </c>
      <c r="C94" t="s">
        <v>280</v>
      </c>
      <c r="D94" t="s">
        <v>37</v>
      </c>
      <c r="E94" t="s">
        <v>38</v>
      </c>
      <c r="F94" t="s">
        <v>146</v>
      </c>
      <c r="G94" s="30">
        <v>44872</v>
      </c>
      <c r="I94" s="1" t="str">
        <v>HOMERO GUEVARA YAÑEZ</v>
      </c>
      <c r="K94" s="1">
        <v>203669</v>
      </c>
      <c r="L94" t="s">
        <v>285</v>
      </c>
      <c r="M94" t="s">
        <v>146</v>
      </c>
    </row>
    <row r="95" spans="1:13" x14ac:dyDescent="0.35">
      <c r="A95" s="1">
        <v>203677</v>
      </c>
      <c r="B95" t="s">
        <v>286</v>
      </c>
      <c r="C95" t="s">
        <v>121</v>
      </c>
      <c r="D95" t="s">
        <v>16</v>
      </c>
      <c r="E95" t="s">
        <v>32</v>
      </c>
      <c r="F95" t="s">
        <v>157</v>
      </c>
      <c r="G95" s="30">
        <v>44880</v>
      </c>
      <c r="I95" s="1" t="str">
        <v>HUGO CESAR SANTIAGO POOT</v>
      </c>
      <c r="K95" s="1">
        <v>203677</v>
      </c>
      <c r="L95" t="s">
        <v>287</v>
      </c>
      <c r="M95" t="s">
        <v>157</v>
      </c>
    </row>
    <row r="96" spans="1:13" x14ac:dyDescent="0.35">
      <c r="A96" s="1">
        <v>203681</v>
      </c>
      <c r="B96" t="s">
        <v>288</v>
      </c>
      <c r="C96" t="s">
        <v>18</v>
      </c>
      <c r="D96" t="s">
        <v>31</v>
      </c>
      <c r="E96" t="s">
        <v>32</v>
      </c>
      <c r="F96" t="s">
        <v>33</v>
      </c>
      <c r="G96" s="30">
        <v>45152</v>
      </c>
      <c r="I96" s="1" t="str">
        <v>ISAAC CARVAJAL MARTINEZ</v>
      </c>
      <c r="K96" s="1">
        <v>203681</v>
      </c>
      <c r="L96" t="s">
        <v>289</v>
      </c>
      <c r="M96" t="s">
        <v>33</v>
      </c>
    </row>
    <row r="97" spans="1:13" x14ac:dyDescent="0.35">
      <c r="A97" s="1">
        <v>203682</v>
      </c>
      <c r="B97" t="s">
        <v>290</v>
      </c>
      <c r="C97" t="s">
        <v>252</v>
      </c>
      <c r="D97" t="s">
        <v>37</v>
      </c>
      <c r="E97" t="s">
        <v>38</v>
      </c>
      <c r="F97" t="s">
        <v>39</v>
      </c>
      <c r="G97" s="30">
        <v>44889</v>
      </c>
      <c r="I97" s="1" t="str">
        <v>ISAAC GUADALUPE CRUZ SILVA</v>
      </c>
      <c r="K97" s="1">
        <v>203682</v>
      </c>
      <c r="L97" t="s">
        <v>291</v>
      </c>
      <c r="M97" t="s">
        <v>39</v>
      </c>
    </row>
    <row r="98" spans="1:13" x14ac:dyDescent="0.35">
      <c r="A98" s="1">
        <v>203696</v>
      </c>
      <c r="B98" t="s">
        <v>292</v>
      </c>
      <c r="C98" t="s">
        <v>168</v>
      </c>
      <c r="D98" t="s">
        <v>54</v>
      </c>
      <c r="E98" t="s">
        <v>32</v>
      </c>
      <c r="F98" t="s">
        <v>48</v>
      </c>
      <c r="G98" s="30">
        <v>44901</v>
      </c>
      <c r="I98" s="1" t="str">
        <v>ISIDRO OLGUIN RODARTE</v>
      </c>
      <c r="K98" s="1">
        <v>203696</v>
      </c>
      <c r="L98" t="s">
        <v>293</v>
      </c>
      <c r="M98" t="s">
        <v>48</v>
      </c>
    </row>
    <row r="99" spans="1:13" x14ac:dyDescent="0.35">
      <c r="A99" s="1">
        <v>203709</v>
      </c>
      <c r="B99" t="s">
        <v>294</v>
      </c>
      <c r="C99" t="s">
        <v>160</v>
      </c>
      <c r="D99" t="s">
        <v>161</v>
      </c>
      <c r="E99" t="s">
        <v>38</v>
      </c>
      <c r="F99" t="s">
        <v>162</v>
      </c>
      <c r="G99" s="30">
        <v>44918</v>
      </c>
      <c r="I99" s="1" t="str">
        <v>ISRAEL DIAZ RODRIGUEZ</v>
      </c>
      <c r="K99" s="1">
        <v>203709</v>
      </c>
      <c r="L99" t="s">
        <v>295</v>
      </c>
      <c r="M99" t="s">
        <v>162</v>
      </c>
    </row>
    <row r="100" spans="1:13" x14ac:dyDescent="0.35">
      <c r="A100" s="1">
        <v>203715</v>
      </c>
      <c r="B100" t="s">
        <v>296</v>
      </c>
      <c r="C100" t="s">
        <v>297</v>
      </c>
      <c r="D100" t="s">
        <v>298</v>
      </c>
      <c r="E100" t="s">
        <v>38</v>
      </c>
      <c r="F100" t="s">
        <v>299</v>
      </c>
      <c r="G100" s="30">
        <v>44924</v>
      </c>
      <c r="I100" s="1" t="str">
        <v>ISRAEL MARTINEZ AMAYA</v>
      </c>
      <c r="K100" s="1">
        <v>203715</v>
      </c>
      <c r="L100" t="s">
        <v>300</v>
      </c>
      <c r="M100" t="s">
        <v>299</v>
      </c>
    </row>
    <row r="101" spans="1:13" x14ac:dyDescent="0.35">
      <c r="A101" s="1">
        <v>203716</v>
      </c>
      <c r="B101" t="s">
        <v>301</v>
      </c>
      <c r="C101" t="s">
        <v>235</v>
      </c>
      <c r="D101" t="s">
        <v>236</v>
      </c>
      <c r="E101" t="s">
        <v>38</v>
      </c>
      <c r="F101" t="s">
        <v>237</v>
      </c>
      <c r="G101" s="30">
        <v>44924</v>
      </c>
      <c r="I101" s="1" t="str">
        <v>IVAN JAIME CONTRERAS CAZAREZ</v>
      </c>
      <c r="K101" s="1">
        <v>203716</v>
      </c>
      <c r="L101" t="s">
        <v>302</v>
      </c>
      <c r="M101" t="s">
        <v>237</v>
      </c>
    </row>
    <row r="102" spans="1:13" x14ac:dyDescent="0.35">
      <c r="A102" s="1">
        <v>203722</v>
      </c>
      <c r="B102" t="s">
        <v>303</v>
      </c>
      <c r="C102" t="s">
        <v>304</v>
      </c>
      <c r="D102" t="s">
        <v>37</v>
      </c>
      <c r="E102" t="s">
        <v>38</v>
      </c>
      <c r="F102" t="s">
        <v>39</v>
      </c>
      <c r="G102" s="30">
        <v>44935</v>
      </c>
      <c r="I102" s="1" t="str">
        <v>JAVIER SAJID ARREOLA GONZALEZ</v>
      </c>
      <c r="K102" s="1">
        <v>203722</v>
      </c>
      <c r="L102" t="s">
        <v>305</v>
      </c>
      <c r="M102" t="s">
        <v>39</v>
      </c>
    </row>
    <row r="103" spans="1:13" x14ac:dyDescent="0.35">
      <c r="A103" s="1">
        <v>203747</v>
      </c>
      <c r="B103" t="s">
        <v>306</v>
      </c>
      <c r="C103" t="s">
        <v>255</v>
      </c>
      <c r="D103" t="s">
        <v>115</v>
      </c>
      <c r="E103" t="s">
        <v>43</v>
      </c>
      <c r="F103" t="s">
        <v>113</v>
      </c>
      <c r="G103" s="30">
        <v>44956</v>
      </c>
      <c r="I103" s="1" t="str">
        <v>JEREMY SANNY BAUTISTA RIVERA</v>
      </c>
      <c r="K103" s="1">
        <v>203747</v>
      </c>
      <c r="L103" t="s">
        <v>307</v>
      </c>
      <c r="M103" t="s">
        <v>113</v>
      </c>
    </row>
    <row r="104" spans="1:13" x14ac:dyDescent="0.35">
      <c r="A104" s="1">
        <v>203762</v>
      </c>
      <c r="B104" t="s">
        <v>308</v>
      </c>
      <c r="C104" t="s">
        <v>137</v>
      </c>
      <c r="D104" t="s">
        <v>31</v>
      </c>
      <c r="E104" t="s">
        <v>32</v>
      </c>
      <c r="F104" t="s">
        <v>33</v>
      </c>
      <c r="G104" s="30">
        <v>45204</v>
      </c>
      <c r="I104" s="1" t="str">
        <v>JESUS ADRIAN GÜEMES MORALES</v>
      </c>
      <c r="K104" s="1">
        <v>203762</v>
      </c>
      <c r="L104" t="s">
        <v>309</v>
      </c>
      <c r="M104" t="s">
        <v>33</v>
      </c>
    </row>
    <row r="105" spans="1:13" x14ac:dyDescent="0.35">
      <c r="A105" s="1">
        <v>203763</v>
      </c>
      <c r="B105" t="s">
        <v>310</v>
      </c>
      <c r="C105" t="s">
        <v>311</v>
      </c>
      <c r="D105" t="s">
        <v>20</v>
      </c>
      <c r="E105" t="s">
        <v>38</v>
      </c>
      <c r="F105" t="s">
        <v>312</v>
      </c>
      <c r="G105" s="30">
        <v>44970</v>
      </c>
      <c r="I105" s="1" t="str">
        <v>JESUS ANGEL LOBANO TORRES</v>
      </c>
      <c r="K105" s="1">
        <v>203763</v>
      </c>
      <c r="L105" t="s">
        <v>313</v>
      </c>
      <c r="M105" t="s">
        <v>312</v>
      </c>
    </row>
    <row r="106" spans="1:13" x14ac:dyDescent="0.35">
      <c r="A106" s="1">
        <v>203773</v>
      </c>
      <c r="B106" t="s">
        <v>314</v>
      </c>
      <c r="C106" t="s">
        <v>315</v>
      </c>
      <c r="D106" t="s">
        <v>223</v>
      </c>
      <c r="E106" t="s">
        <v>38</v>
      </c>
      <c r="F106" t="s">
        <v>224</v>
      </c>
      <c r="G106" s="30">
        <v>44978</v>
      </c>
      <c r="I106" s="1" t="str">
        <v>JESUS ANTONIO MENDEZ OLVERA</v>
      </c>
      <c r="K106" s="1">
        <v>203773</v>
      </c>
      <c r="L106" t="s">
        <v>316</v>
      </c>
      <c r="M106" t="s">
        <v>224</v>
      </c>
    </row>
    <row r="107" spans="1:13" x14ac:dyDescent="0.35">
      <c r="A107" s="1">
        <v>203789</v>
      </c>
      <c r="B107" t="s">
        <v>317</v>
      </c>
      <c r="C107" t="s">
        <v>168</v>
      </c>
      <c r="D107" t="s">
        <v>16</v>
      </c>
      <c r="E107" t="s">
        <v>32</v>
      </c>
      <c r="F107" t="s">
        <v>318</v>
      </c>
      <c r="G107" s="30">
        <v>44987</v>
      </c>
      <c r="I107" s="1" t="str">
        <v>JESUS DAVID ASTORGA URIBE</v>
      </c>
      <c r="K107" s="1">
        <v>203789</v>
      </c>
      <c r="L107" t="s">
        <v>319</v>
      </c>
      <c r="M107" t="s">
        <v>318</v>
      </c>
    </row>
    <row r="108" spans="1:13" x14ac:dyDescent="0.35">
      <c r="A108" s="1">
        <v>203823</v>
      </c>
      <c r="B108" t="s">
        <v>320</v>
      </c>
      <c r="C108" t="s">
        <v>137</v>
      </c>
      <c r="D108" t="s">
        <v>31</v>
      </c>
      <c r="E108" t="s">
        <v>32</v>
      </c>
      <c r="F108" t="s">
        <v>33</v>
      </c>
      <c r="G108" s="30">
        <v>45009</v>
      </c>
      <c r="I108" s="1" t="str">
        <v>JESUS DAVID RIVERA SANCHEZ</v>
      </c>
      <c r="K108" s="1">
        <v>203823</v>
      </c>
      <c r="L108" t="s">
        <v>321</v>
      </c>
      <c r="M108" t="s">
        <v>33</v>
      </c>
    </row>
    <row r="109" spans="1:13" x14ac:dyDescent="0.35">
      <c r="A109" s="1">
        <v>203841</v>
      </c>
      <c r="B109" t="s">
        <v>322</v>
      </c>
      <c r="C109" t="s">
        <v>67</v>
      </c>
      <c r="D109" t="s">
        <v>20</v>
      </c>
      <c r="E109" t="s">
        <v>43</v>
      </c>
      <c r="F109" t="s">
        <v>312</v>
      </c>
      <c r="G109" s="30">
        <v>45029</v>
      </c>
      <c r="I109" s="1" t="str">
        <v>JESUS EDUARDO HERNANDEZ BARRERA</v>
      </c>
      <c r="K109" s="1">
        <v>203841</v>
      </c>
      <c r="L109" t="s">
        <v>323</v>
      </c>
      <c r="M109" t="s">
        <v>312</v>
      </c>
    </row>
    <row r="110" spans="1:13" x14ac:dyDescent="0.35">
      <c r="A110" s="1">
        <v>203862</v>
      </c>
      <c r="B110" t="s">
        <v>324</v>
      </c>
      <c r="C110" t="s">
        <v>325</v>
      </c>
      <c r="D110" t="s">
        <v>54</v>
      </c>
      <c r="E110" t="s">
        <v>32</v>
      </c>
      <c r="F110" t="s">
        <v>92</v>
      </c>
      <c r="G110" s="30">
        <v>45666</v>
      </c>
      <c r="I110" s="1" t="str">
        <v>JESUS ENRIQUE CAÑEZ RAMIREZ</v>
      </c>
      <c r="K110" s="1">
        <v>203862</v>
      </c>
      <c r="L110" t="s">
        <v>326</v>
      </c>
      <c r="M110" t="s">
        <v>92</v>
      </c>
    </row>
    <row r="111" spans="1:13" x14ac:dyDescent="0.35">
      <c r="A111" s="1">
        <v>203864</v>
      </c>
      <c r="B111" t="s">
        <v>327</v>
      </c>
      <c r="C111" t="s">
        <v>325</v>
      </c>
      <c r="D111" t="s">
        <v>54</v>
      </c>
      <c r="E111" t="s">
        <v>32</v>
      </c>
      <c r="F111" t="s">
        <v>152</v>
      </c>
      <c r="G111" s="30">
        <v>45667</v>
      </c>
      <c r="I111" s="1" t="str">
        <v>JESUS GUILLERMO CASTRO TORRES</v>
      </c>
      <c r="K111" s="1">
        <v>203864</v>
      </c>
      <c r="L111" t="s">
        <v>328</v>
      </c>
      <c r="M111" t="s">
        <v>152</v>
      </c>
    </row>
    <row r="112" spans="1:13" x14ac:dyDescent="0.35">
      <c r="A112" s="1">
        <v>203865</v>
      </c>
      <c r="B112" t="s">
        <v>329</v>
      </c>
      <c r="C112" t="s">
        <v>325</v>
      </c>
      <c r="D112" t="s">
        <v>54</v>
      </c>
      <c r="E112" t="s">
        <v>32</v>
      </c>
      <c r="F112" t="s">
        <v>55</v>
      </c>
      <c r="G112" s="30">
        <v>45666</v>
      </c>
      <c r="I112" s="1" t="str">
        <v>JESUS LARA VIDAÑA</v>
      </c>
      <c r="K112" s="1">
        <v>203865</v>
      </c>
      <c r="L112" t="s">
        <v>330</v>
      </c>
      <c r="M112" t="s">
        <v>55</v>
      </c>
    </row>
    <row r="113" spans="1:13" x14ac:dyDescent="0.35">
      <c r="A113" s="1">
        <v>203871</v>
      </c>
      <c r="B113" t="s">
        <v>331</v>
      </c>
      <c r="C113" t="s">
        <v>325</v>
      </c>
      <c r="D113" t="s">
        <v>54</v>
      </c>
      <c r="E113" t="s">
        <v>32</v>
      </c>
      <c r="F113" t="s">
        <v>92</v>
      </c>
      <c r="G113" s="30">
        <v>45670</v>
      </c>
      <c r="I113" s="1" t="str">
        <v>JESUS SALVADOR GOMEZ RUEDA</v>
      </c>
      <c r="K113" s="1">
        <v>203871</v>
      </c>
      <c r="L113" t="s">
        <v>332</v>
      </c>
      <c r="M113" t="s">
        <v>92</v>
      </c>
    </row>
    <row r="114" spans="1:13" x14ac:dyDescent="0.35">
      <c r="A114" s="1">
        <v>203886</v>
      </c>
      <c r="B114" t="s">
        <v>333</v>
      </c>
      <c r="C114" t="s">
        <v>334</v>
      </c>
      <c r="D114" t="s">
        <v>21</v>
      </c>
      <c r="E114" t="s">
        <v>43</v>
      </c>
      <c r="F114" t="s">
        <v>44</v>
      </c>
      <c r="G114" s="30">
        <v>45068</v>
      </c>
      <c r="I114" s="1" t="str">
        <v>JESUS VILLAVICENCIO GARCIA</v>
      </c>
      <c r="K114" s="1">
        <v>203886</v>
      </c>
      <c r="L114" t="s">
        <v>335</v>
      </c>
      <c r="M114" t="s">
        <v>44</v>
      </c>
    </row>
    <row r="115" spans="1:13" x14ac:dyDescent="0.35">
      <c r="A115" s="1">
        <v>203895</v>
      </c>
      <c r="B115" t="s">
        <v>336</v>
      </c>
      <c r="C115" t="s">
        <v>168</v>
      </c>
      <c r="D115" t="s">
        <v>16</v>
      </c>
      <c r="E115" t="s">
        <v>32</v>
      </c>
      <c r="F115" t="s">
        <v>55</v>
      </c>
      <c r="G115" s="30">
        <v>45071</v>
      </c>
      <c r="I115" s="1" t="str">
        <v>JOAQUIN PALOMARES CARDENAS</v>
      </c>
      <c r="K115" s="1">
        <v>203895</v>
      </c>
      <c r="L115" t="s">
        <v>337</v>
      </c>
      <c r="M115" t="s">
        <v>55</v>
      </c>
    </row>
    <row r="116" spans="1:13" x14ac:dyDescent="0.35">
      <c r="A116" s="1">
        <v>203899</v>
      </c>
      <c r="B116" t="s">
        <v>338</v>
      </c>
      <c r="C116" t="s">
        <v>185</v>
      </c>
      <c r="D116" t="s">
        <v>21</v>
      </c>
      <c r="E116" t="s">
        <v>43</v>
      </c>
      <c r="F116" t="s">
        <v>44</v>
      </c>
      <c r="G116" s="30">
        <v>45078</v>
      </c>
      <c r="I116" s="1" t="str">
        <v>JOEL DAVID GARCIA TOVAR</v>
      </c>
      <c r="K116" s="1">
        <v>203899</v>
      </c>
      <c r="L116" t="s">
        <v>339</v>
      </c>
      <c r="M116" t="s">
        <v>44</v>
      </c>
    </row>
    <row r="117" spans="1:13" x14ac:dyDescent="0.35">
      <c r="A117" s="1">
        <v>203913</v>
      </c>
      <c r="B117" t="s">
        <v>340</v>
      </c>
      <c r="C117" t="s">
        <v>341</v>
      </c>
      <c r="D117" t="s">
        <v>16</v>
      </c>
      <c r="E117" t="s">
        <v>32</v>
      </c>
      <c r="F117" t="s">
        <v>157</v>
      </c>
      <c r="G117" s="30">
        <v>45666</v>
      </c>
      <c r="I117" s="1" t="str">
        <v>JOEL ORTIZ GARCIA</v>
      </c>
      <c r="K117" s="1">
        <v>203913</v>
      </c>
      <c r="L117" t="s">
        <v>342</v>
      </c>
      <c r="M117" t="s">
        <v>157</v>
      </c>
    </row>
    <row r="118" spans="1:13" x14ac:dyDescent="0.35">
      <c r="A118" s="1">
        <v>203925</v>
      </c>
      <c r="B118" t="s">
        <v>343</v>
      </c>
      <c r="C118" t="s">
        <v>344</v>
      </c>
      <c r="D118" t="s">
        <v>37</v>
      </c>
      <c r="E118" t="s">
        <v>38</v>
      </c>
      <c r="F118" t="s">
        <v>39</v>
      </c>
      <c r="G118" s="30">
        <v>45093</v>
      </c>
      <c r="I118" s="1" t="str">
        <v>JOEL ZAMORA LOPEZ</v>
      </c>
      <c r="K118" s="1">
        <v>203925</v>
      </c>
      <c r="L118" t="s">
        <v>345</v>
      </c>
      <c r="M118" t="s">
        <v>39</v>
      </c>
    </row>
    <row r="119" spans="1:13" x14ac:dyDescent="0.35">
      <c r="A119" s="1">
        <v>203955</v>
      </c>
      <c r="B119" t="s">
        <v>346</v>
      </c>
      <c r="C119" t="s">
        <v>137</v>
      </c>
      <c r="D119" t="s">
        <v>54</v>
      </c>
      <c r="E119" t="s">
        <v>32</v>
      </c>
      <c r="F119" t="s">
        <v>48</v>
      </c>
      <c r="G119" s="30">
        <v>45134</v>
      </c>
      <c r="I119" s="1" t="str">
        <v>JONATHAN LOPEZ LOPEZ</v>
      </c>
      <c r="K119" s="1">
        <v>203955</v>
      </c>
      <c r="L119" t="s">
        <v>347</v>
      </c>
      <c r="M119" t="s">
        <v>48</v>
      </c>
    </row>
    <row r="120" spans="1:13" x14ac:dyDescent="0.35">
      <c r="A120" s="1">
        <v>204000</v>
      </c>
      <c r="B120" t="s">
        <v>348</v>
      </c>
      <c r="C120" t="s">
        <v>132</v>
      </c>
      <c r="D120" t="s">
        <v>16</v>
      </c>
      <c r="E120" t="s">
        <v>32</v>
      </c>
      <c r="F120" t="s">
        <v>92</v>
      </c>
      <c r="G120" s="30">
        <v>45146</v>
      </c>
      <c r="I120" s="1" t="str">
        <v>JORGE ADRIAN VITAL BALCAZAR</v>
      </c>
      <c r="K120" s="1">
        <v>204000</v>
      </c>
      <c r="L120" t="s">
        <v>349</v>
      </c>
      <c r="M120" t="s">
        <v>92</v>
      </c>
    </row>
    <row r="121" spans="1:13" x14ac:dyDescent="0.35">
      <c r="A121" s="1">
        <v>204019</v>
      </c>
      <c r="B121" t="s">
        <v>350</v>
      </c>
      <c r="C121" t="s">
        <v>137</v>
      </c>
      <c r="D121" t="s">
        <v>37</v>
      </c>
      <c r="E121" t="s">
        <v>43</v>
      </c>
      <c r="F121" t="s">
        <v>146</v>
      </c>
      <c r="G121" s="30">
        <v>45155</v>
      </c>
      <c r="I121" s="1" t="str">
        <v>JORGE ALBERTO VILLARREAL ROMO</v>
      </c>
      <c r="K121" s="1">
        <v>204019</v>
      </c>
      <c r="L121" t="s">
        <v>351</v>
      </c>
      <c r="M121" t="s">
        <v>146</v>
      </c>
    </row>
    <row r="122" spans="1:13" x14ac:dyDescent="0.35">
      <c r="A122" s="1">
        <v>204021</v>
      </c>
      <c r="B122" t="s">
        <v>352</v>
      </c>
      <c r="C122" t="s">
        <v>137</v>
      </c>
      <c r="D122" t="s">
        <v>54</v>
      </c>
      <c r="E122" t="s">
        <v>32</v>
      </c>
      <c r="F122" t="s">
        <v>92</v>
      </c>
      <c r="G122" s="30">
        <v>45155</v>
      </c>
      <c r="I122" s="1" t="str">
        <v>JORGE BEJARANO VALENCIA</v>
      </c>
      <c r="K122" s="1">
        <v>204021</v>
      </c>
      <c r="L122" t="s">
        <v>353</v>
      </c>
      <c r="M122" t="s">
        <v>92</v>
      </c>
    </row>
    <row r="123" spans="1:13" x14ac:dyDescent="0.35">
      <c r="A123" s="1">
        <v>204026</v>
      </c>
      <c r="B123" t="s">
        <v>354</v>
      </c>
      <c r="C123" t="s">
        <v>355</v>
      </c>
      <c r="D123" t="s">
        <v>37</v>
      </c>
      <c r="E123" t="s">
        <v>38</v>
      </c>
      <c r="F123" t="s">
        <v>39</v>
      </c>
      <c r="G123" s="30">
        <v>45162</v>
      </c>
      <c r="I123" s="1" t="str">
        <v>JORGE LUIS TORRES LOPEZ</v>
      </c>
      <c r="K123" s="1">
        <v>204026</v>
      </c>
      <c r="L123" t="s">
        <v>356</v>
      </c>
      <c r="M123" t="s">
        <v>39</v>
      </c>
    </row>
    <row r="124" spans="1:13" x14ac:dyDescent="0.35">
      <c r="A124" s="1">
        <v>204041</v>
      </c>
      <c r="B124" t="s">
        <v>357</v>
      </c>
      <c r="C124" t="s">
        <v>137</v>
      </c>
      <c r="D124" t="s">
        <v>31</v>
      </c>
      <c r="E124" t="s">
        <v>32</v>
      </c>
      <c r="F124" t="s">
        <v>33</v>
      </c>
      <c r="G124" s="30">
        <v>45176</v>
      </c>
      <c r="I124" s="1" t="str">
        <v>JORGE OCTAVIO RASCON MENCHACA</v>
      </c>
      <c r="K124" s="1">
        <v>204041</v>
      </c>
      <c r="L124" t="s">
        <v>358</v>
      </c>
      <c r="M124" t="s">
        <v>33</v>
      </c>
    </row>
    <row r="125" spans="1:13" x14ac:dyDescent="0.35">
      <c r="A125" s="1">
        <v>204042</v>
      </c>
      <c r="B125" t="s">
        <v>359</v>
      </c>
      <c r="C125" t="s">
        <v>325</v>
      </c>
      <c r="D125" t="s">
        <v>54</v>
      </c>
      <c r="E125" t="s">
        <v>32</v>
      </c>
      <c r="F125" t="s">
        <v>318</v>
      </c>
      <c r="G125" s="30">
        <v>45661</v>
      </c>
      <c r="I125" s="1" t="str">
        <v>JORGE RAFAEL ARELLANO PEÑALOZA</v>
      </c>
      <c r="K125" s="1">
        <v>204042</v>
      </c>
      <c r="L125" t="s">
        <v>360</v>
      </c>
      <c r="M125" t="s">
        <v>318</v>
      </c>
    </row>
    <row r="126" spans="1:13" x14ac:dyDescent="0.35">
      <c r="A126" s="1">
        <v>204045</v>
      </c>
      <c r="B126" t="s">
        <v>361</v>
      </c>
      <c r="C126" t="s">
        <v>362</v>
      </c>
      <c r="D126" t="s">
        <v>37</v>
      </c>
      <c r="E126" t="s">
        <v>38</v>
      </c>
      <c r="F126" t="s">
        <v>39</v>
      </c>
      <c r="G126" s="30">
        <v>45181</v>
      </c>
      <c r="I126" s="1" t="str">
        <v>JORGE RIVERA HERMOSILLO</v>
      </c>
      <c r="K126" s="1">
        <v>204045</v>
      </c>
      <c r="L126" t="s">
        <v>363</v>
      </c>
      <c r="M126" t="s">
        <v>39</v>
      </c>
    </row>
    <row r="127" spans="1:13" x14ac:dyDescent="0.35">
      <c r="A127" s="1">
        <v>204046</v>
      </c>
      <c r="B127" t="s">
        <v>364</v>
      </c>
      <c r="C127" t="s">
        <v>160</v>
      </c>
      <c r="D127" t="s">
        <v>161</v>
      </c>
      <c r="E127" t="s">
        <v>38</v>
      </c>
      <c r="F127" t="s">
        <v>162</v>
      </c>
      <c r="G127" s="30">
        <v>45183</v>
      </c>
      <c r="I127" s="1" t="str">
        <v>JOSE ANTONIO ARCE GONZALEZ</v>
      </c>
      <c r="K127" s="1">
        <v>204046</v>
      </c>
      <c r="L127" t="s">
        <v>365</v>
      </c>
      <c r="M127" t="s">
        <v>162</v>
      </c>
    </row>
    <row r="128" spans="1:13" x14ac:dyDescent="0.35">
      <c r="A128" s="1">
        <v>204052</v>
      </c>
      <c r="B128" t="s">
        <v>366</v>
      </c>
      <c r="C128" t="s">
        <v>367</v>
      </c>
      <c r="D128" t="s">
        <v>37</v>
      </c>
      <c r="E128" t="s">
        <v>38</v>
      </c>
      <c r="F128" t="s">
        <v>39</v>
      </c>
      <c r="G128" s="30">
        <v>45188</v>
      </c>
      <c r="I128" s="1" t="str">
        <v>JOSE ANTONIO FERRER MEDINA</v>
      </c>
      <c r="K128" s="1">
        <v>204052</v>
      </c>
      <c r="L128" t="s">
        <v>368</v>
      </c>
      <c r="M128" t="s">
        <v>39</v>
      </c>
    </row>
    <row r="129" spans="1:13" x14ac:dyDescent="0.35">
      <c r="A129" s="1">
        <v>204057</v>
      </c>
      <c r="B129" t="s">
        <v>369</v>
      </c>
      <c r="C129" t="s">
        <v>132</v>
      </c>
      <c r="D129" t="s">
        <v>31</v>
      </c>
      <c r="E129" t="s">
        <v>32</v>
      </c>
      <c r="F129" t="s">
        <v>33</v>
      </c>
      <c r="G129" s="30">
        <v>45191</v>
      </c>
      <c r="I129" s="1" t="str">
        <v>JOSE DE JESUS PEREZ ARCE</v>
      </c>
      <c r="K129" s="1">
        <v>204057</v>
      </c>
      <c r="L129" t="s">
        <v>370</v>
      </c>
      <c r="M129" t="s">
        <v>33</v>
      </c>
    </row>
    <row r="130" spans="1:13" x14ac:dyDescent="0.35">
      <c r="A130" s="1">
        <v>204063</v>
      </c>
      <c r="B130" t="s">
        <v>371</v>
      </c>
      <c r="C130" t="s">
        <v>132</v>
      </c>
      <c r="D130" t="s">
        <v>21</v>
      </c>
      <c r="E130" t="s">
        <v>43</v>
      </c>
      <c r="F130" t="s">
        <v>146</v>
      </c>
      <c r="G130" s="30">
        <v>45195</v>
      </c>
      <c r="I130" s="1" t="str">
        <v>JOSE FLORENTINO HERNANDEZ DUARTE</v>
      </c>
      <c r="K130" s="1">
        <v>204063</v>
      </c>
      <c r="L130" t="s">
        <v>372</v>
      </c>
      <c r="M130" t="s">
        <v>146</v>
      </c>
    </row>
    <row r="131" spans="1:13" x14ac:dyDescent="0.35">
      <c r="A131" s="1">
        <v>204064</v>
      </c>
      <c r="B131" t="s">
        <v>373</v>
      </c>
      <c r="C131" t="s">
        <v>168</v>
      </c>
      <c r="D131" t="s">
        <v>16</v>
      </c>
      <c r="E131" t="s">
        <v>43</v>
      </c>
      <c r="F131" t="s">
        <v>92</v>
      </c>
      <c r="G131" s="30">
        <v>45195</v>
      </c>
      <c r="I131" s="1" t="str">
        <v>JOSE IGNACIO PRIETO TOBA</v>
      </c>
      <c r="K131" s="1">
        <v>204064</v>
      </c>
      <c r="L131" t="s">
        <v>374</v>
      </c>
      <c r="M131" t="s">
        <v>92</v>
      </c>
    </row>
    <row r="132" spans="1:13" x14ac:dyDescent="0.35">
      <c r="A132" s="1">
        <v>204069</v>
      </c>
      <c r="B132" t="s">
        <v>375</v>
      </c>
      <c r="C132" t="s">
        <v>168</v>
      </c>
      <c r="D132" t="s">
        <v>16</v>
      </c>
      <c r="E132" t="s">
        <v>32</v>
      </c>
      <c r="F132" t="s">
        <v>48</v>
      </c>
      <c r="G132" s="30">
        <v>45246</v>
      </c>
      <c r="I132" s="1" t="str">
        <v>JOSE ISRAEL CORDERO ORTA</v>
      </c>
      <c r="K132" s="1">
        <v>204069</v>
      </c>
      <c r="L132" t="s">
        <v>376</v>
      </c>
      <c r="M132" t="s">
        <v>48</v>
      </c>
    </row>
    <row r="133" spans="1:13" x14ac:dyDescent="0.35">
      <c r="A133" s="1">
        <v>204078</v>
      </c>
      <c r="B133" t="s">
        <v>377</v>
      </c>
      <c r="C133" t="s">
        <v>132</v>
      </c>
      <c r="D133" t="s">
        <v>21</v>
      </c>
      <c r="E133" t="s">
        <v>43</v>
      </c>
      <c r="F133" t="s">
        <v>44</v>
      </c>
      <c r="G133" s="30">
        <v>45204</v>
      </c>
      <c r="I133" s="1" t="str">
        <v>JOSE JAIME VALLEJO ISORDIA</v>
      </c>
      <c r="K133" s="1">
        <v>204078</v>
      </c>
      <c r="L133" t="s">
        <v>378</v>
      </c>
      <c r="M133" t="s">
        <v>44</v>
      </c>
    </row>
    <row r="134" spans="1:13" x14ac:dyDescent="0.35">
      <c r="A134" s="1">
        <v>204080</v>
      </c>
      <c r="B134" t="s">
        <v>379</v>
      </c>
      <c r="C134" t="s">
        <v>380</v>
      </c>
      <c r="D134" t="s">
        <v>223</v>
      </c>
      <c r="E134" t="s">
        <v>38</v>
      </c>
      <c r="F134" t="s">
        <v>224</v>
      </c>
      <c r="G134" s="30">
        <v>45208</v>
      </c>
      <c r="I134" s="1" t="str">
        <v>JOSE LUIS PEREZ RAMIREZ</v>
      </c>
      <c r="K134" s="1">
        <v>204080</v>
      </c>
      <c r="L134" t="s">
        <v>381</v>
      </c>
      <c r="M134" t="s">
        <v>224</v>
      </c>
    </row>
    <row r="135" spans="1:13" x14ac:dyDescent="0.35">
      <c r="A135" s="1">
        <v>204090</v>
      </c>
      <c r="B135" t="s">
        <v>382</v>
      </c>
      <c r="C135" t="s">
        <v>383</v>
      </c>
      <c r="D135" t="s">
        <v>17</v>
      </c>
      <c r="E135" t="s">
        <v>32</v>
      </c>
      <c r="F135" t="s">
        <v>71</v>
      </c>
      <c r="G135" s="30">
        <v>45218</v>
      </c>
      <c r="I135" s="1" t="str">
        <v>JOSE MONTOYA LOPEZ</v>
      </c>
      <c r="K135" s="1">
        <v>204090</v>
      </c>
      <c r="L135" t="s">
        <v>384</v>
      </c>
      <c r="M135" t="s">
        <v>71</v>
      </c>
    </row>
    <row r="136" spans="1:13" x14ac:dyDescent="0.35">
      <c r="A136" s="1">
        <v>204096</v>
      </c>
      <c r="B136" t="s">
        <v>385</v>
      </c>
      <c r="C136" t="s">
        <v>386</v>
      </c>
      <c r="D136" t="s">
        <v>21</v>
      </c>
      <c r="E136" t="s">
        <v>43</v>
      </c>
      <c r="F136" t="s">
        <v>44</v>
      </c>
      <c r="G136" s="30">
        <v>45385</v>
      </c>
      <c r="I136" s="1" t="str">
        <v>JOSE RAUL BELTRAN HERNANDEZ</v>
      </c>
      <c r="K136" s="1">
        <v>204096</v>
      </c>
      <c r="L136" t="s">
        <v>387</v>
      </c>
      <c r="M136" t="s">
        <v>44</v>
      </c>
    </row>
    <row r="137" spans="1:13" x14ac:dyDescent="0.35">
      <c r="A137" s="1">
        <v>204097</v>
      </c>
      <c r="B137" t="s">
        <v>388</v>
      </c>
      <c r="C137" t="s">
        <v>389</v>
      </c>
      <c r="D137" t="s">
        <v>21</v>
      </c>
      <c r="E137" t="s">
        <v>43</v>
      </c>
      <c r="F137" t="s">
        <v>44</v>
      </c>
      <c r="G137" s="30">
        <v>45225</v>
      </c>
      <c r="I137" s="1" t="str">
        <v>JOSE RAYMUNDO VALENZUELA RENDON</v>
      </c>
      <c r="K137" s="1">
        <v>204097</v>
      </c>
      <c r="L137" t="s">
        <v>390</v>
      </c>
      <c r="M137" t="s">
        <v>44</v>
      </c>
    </row>
    <row r="138" spans="1:13" x14ac:dyDescent="0.35">
      <c r="A138" s="1">
        <v>204099</v>
      </c>
      <c r="B138" t="s">
        <v>391</v>
      </c>
      <c r="C138" t="s">
        <v>168</v>
      </c>
      <c r="D138" t="s">
        <v>16</v>
      </c>
      <c r="E138" t="s">
        <v>32</v>
      </c>
      <c r="F138" t="s">
        <v>92</v>
      </c>
      <c r="G138" s="30">
        <v>45225</v>
      </c>
      <c r="I138" s="1" t="str">
        <v>JOSUE ARTURO ZAVALA JIMENEZ</v>
      </c>
      <c r="K138" s="1">
        <v>204099</v>
      </c>
      <c r="L138" t="s">
        <v>392</v>
      </c>
      <c r="M138" t="s">
        <v>92</v>
      </c>
    </row>
    <row r="139" spans="1:13" x14ac:dyDescent="0.35">
      <c r="A139" s="1">
        <v>204132</v>
      </c>
      <c r="B139" t="s">
        <v>393</v>
      </c>
      <c r="C139" t="s">
        <v>280</v>
      </c>
      <c r="D139" t="s">
        <v>37</v>
      </c>
      <c r="E139" t="s">
        <v>38</v>
      </c>
      <c r="F139" t="s">
        <v>39</v>
      </c>
      <c r="G139" s="30">
        <v>45261</v>
      </c>
      <c r="I139" s="1" t="str">
        <v>JOSUE ISRAEL QUIÑONEZ RIOS</v>
      </c>
      <c r="K139" s="1">
        <v>204132</v>
      </c>
      <c r="L139" t="s">
        <v>394</v>
      </c>
      <c r="M139" t="s">
        <v>39</v>
      </c>
    </row>
    <row r="140" spans="1:13" x14ac:dyDescent="0.35">
      <c r="A140" s="1">
        <v>204136</v>
      </c>
      <c r="B140" t="s">
        <v>395</v>
      </c>
      <c r="C140" t="s">
        <v>77</v>
      </c>
      <c r="D140" t="s">
        <v>78</v>
      </c>
      <c r="E140" t="s">
        <v>38</v>
      </c>
      <c r="F140" t="s">
        <v>79</v>
      </c>
      <c r="G140" s="30">
        <v>45271</v>
      </c>
      <c r="I140" s="1" t="str">
        <v>JUAN ALBERTO ALVAREZ ESTRELLA</v>
      </c>
      <c r="K140" s="1">
        <v>204136</v>
      </c>
      <c r="L140" t="s">
        <v>396</v>
      </c>
      <c r="M140" t="s">
        <v>79</v>
      </c>
    </row>
    <row r="141" spans="1:13" x14ac:dyDescent="0.35">
      <c r="A141" s="1">
        <v>204153</v>
      </c>
      <c r="B141" t="s">
        <v>397</v>
      </c>
      <c r="C141" t="s">
        <v>132</v>
      </c>
      <c r="D141" t="s">
        <v>31</v>
      </c>
      <c r="E141" t="s">
        <v>32</v>
      </c>
      <c r="F141" t="s">
        <v>33</v>
      </c>
      <c r="G141" s="30">
        <v>45295</v>
      </c>
      <c r="I141" s="1" t="str">
        <v>JUAN ANTONIO CETINA RODRIGUEZ</v>
      </c>
      <c r="K141" s="1">
        <v>204153</v>
      </c>
      <c r="L141" t="s">
        <v>398</v>
      </c>
      <c r="M141" t="s">
        <v>33</v>
      </c>
    </row>
    <row r="142" spans="1:13" x14ac:dyDescent="0.35">
      <c r="A142" s="1">
        <v>204154</v>
      </c>
      <c r="B142" t="s">
        <v>399</v>
      </c>
      <c r="C142" t="s">
        <v>132</v>
      </c>
      <c r="D142" t="s">
        <v>31</v>
      </c>
      <c r="E142" t="s">
        <v>32</v>
      </c>
      <c r="F142" t="s">
        <v>33</v>
      </c>
      <c r="G142" s="30">
        <v>45295</v>
      </c>
      <c r="I142" s="1" t="str">
        <v>JUAN CARLOS CAMEZ RAMIREZ</v>
      </c>
      <c r="K142" s="1">
        <v>204154</v>
      </c>
      <c r="L142" t="s">
        <v>400</v>
      </c>
      <c r="M142" t="s">
        <v>33</v>
      </c>
    </row>
    <row r="143" spans="1:13" x14ac:dyDescent="0.35">
      <c r="A143" s="1">
        <v>204155</v>
      </c>
      <c r="B143" t="s">
        <v>401</v>
      </c>
      <c r="C143" t="s">
        <v>193</v>
      </c>
      <c r="D143" t="s">
        <v>194</v>
      </c>
      <c r="E143" t="s">
        <v>38</v>
      </c>
      <c r="F143" t="s">
        <v>195</v>
      </c>
      <c r="G143" s="30">
        <v>45295</v>
      </c>
      <c r="I143" s="1" t="str">
        <v>JUAN CARLOS CARRANZA BRISEÑO</v>
      </c>
      <c r="K143" s="1">
        <v>204155</v>
      </c>
      <c r="L143" t="s">
        <v>402</v>
      </c>
      <c r="M143" t="s">
        <v>195</v>
      </c>
    </row>
    <row r="144" spans="1:13" x14ac:dyDescent="0.35">
      <c r="A144" s="1">
        <v>204168</v>
      </c>
      <c r="B144" t="s">
        <v>403</v>
      </c>
      <c r="C144" t="s">
        <v>334</v>
      </c>
      <c r="D144" t="s">
        <v>21</v>
      </c>
      <c r="E144" t="s">
        <v>43</v>
      </c>
      <c r="F144" t="s">
        <v>44</v>
      </c>
      <c r="G144" s="30">
        <v>45313</v>
      </c>
      <c r="I144" s="1" t="str">
        <v>JUAN CARLOS LAPIZCO NUÑEZ</v>
      </c>
      <c r="K144" s="1">
        <v>204168</v>
      </c>
      <c r="L144" t="s">
        <v>404</v>
      </c>
      <c r="M144" t="s">
        <v>44</v>
      </c>
    </row>
    <row r="145" spans="1:13" x14ac:dyDescent="0.35">
      <c r="A145" s="1">
        <v>204172</v>
      </c>
      <c r="B145" t="s">
        <v>405</v>
      </c>
      <c r="C145" t="s">
        <v>77</v>
      </c>
      <c r="D145" t="s">
        <v>78</v>
      </c>
      <c r="E145" t="s">
        <v>38</v>
      </c>
      <c r="F145" t="s">
        <v>79</v>
      </c>
      <c r="G145" s="30">
        <v>45316</v>
      </c>
      <c r="I145" s="1" t="str">
        <v>JUAN CARLOS TAMAYO NAJERA</v>
      </c>
      <c r="K145" s="1">
        <v>204172</v>
      </c>
      <c r="L145" t="s">
        <v>406</v>
      </c>
      <c r="M145" t="s">
        <v>79</v>
      </c>
    </row>
    <row r="146" spans="1:13" x14ac:dyDescent="0.35">
      <c r="A146" s="1">
        <v>204177</v>
      </c>
      <c r="B146" t="s">
        <v>407</v>
      </c>
      <c r="C146" t="s">
        <v>132</v>
      </c>
      <c r="D146" t="s">
        <v>17</v>
      </c>
      <c r="E146" t="s">
        <v>32</v>
      </c>
      <c r="F146" t="s">
        <v>71</v>
      </c>
      <c r="G146" s="30">
        <v>45439</v>
      </c>
      <c r="I146" s="1" t="str">
        <v>JUAN FRANCISCO CARRILLO MARTINEZ</v>
      </c>
      <c r="K146" s="1">
        <v>204177</v>
      </c>
      <c r="L146" t="s">
        <v>408</v>
      </c>
      <c r="M146" t="s">
        <v>71</v>
      </c>
    </row>
    <row r="147" spans="1:13" x14ac:dyDescent="0.35">
      <c r="A147" s="1">
        <v>204186</v>
      </c>
      <c r="B147" t="s">
        <v>409</v>
      </c>
      <c r="C147" t="s">
        <v>160</v>
      </c>
      <c r="D147" t="s">
        <v>161</v>
      </c>
      <c r="E147" t="s">
        <v>38</v>
      </c>
      <c r="F147" t="s">
        <v>162</v>
      </c>
      <c r="G147" s="30">
        <v>45330</v>
      </c>
      <c r="I147" s="1" t="str">
        <v>JUAN JESUS MORALES GUEVARA</v>
      </c>
      <c r="K147" s="1">
        <v>204186</v>
      </c>
      <c r="L147" t="s">
        <v>410</v>
      </c>
      <c r="M147" t="s">
        <v>162</v>
      </c>
    </row>
    <row r="148" spans="1:13" x14ac:dyDescent="0.35">
      <c r="A148" s="1">
        <v>204197</v>
      </c>
      <c r="B148" t="s">
        <v>411</v>
      </c>
      <c r="C148" t="s">
        <v>412</v>
      </c>
      <c r="D148" t="s">
        <v>17</v>
      </c>
      <c r="E148" t="s">
        <v>32</v>
      </c>
      <c r="F148" t="s">
        <v>71</v>
      </c>
      <c r="G148" s="30">
        <v>45337</v>
      </c>
      <c r="I148" s="1" t="str">
        <v>JUAN JOSE CAÑEDO REYES</v>
      </c>
      <c r="K148" s="1">
        <v>204197</v>
      </c>
      <c r="L148" t="s">
        <v>413</v>
      </c>
      <c r="M148" t="s">
        <v>71</v>
      </c>
    </row>
    <row r="149" spans="1:13" x14ac:dyDescent="0.35">
      <c r="A149" s="1">
        <v>204200</v>
      </c>
      <c r="B149" t="s">
        <v>414</v>
      </c>
      <c r="C149" t="s">
        <v>311</v>
      </c>
      <c r="D149" t="s">
        <v>20</v>
      </c>
      <c r="E149" t="s">
        <v>38</v>
      </c>
      <c r="F149" t="s">
        <v>312</v>
      </c>
      <c r="G149" s="30">
        <v>45337</v>
      </c>
      <c r="I149" s="1" t="str">
        <v>JUAN JOSE ROMERO ARZABAL</v>
      </c>
      <c r="K149" s="1">
        <v>204200</v>
      </c>
      <c r="L149" t="s">
        <v>415</v>
      </c>
      <c r="M149" t="s">
        <v>312</v>
      </c>
    </row>
    <row r="150" spans="1:13" x14ac:dyDescent="0.35">
      <c r="A150" s="1">
        <v>204203</v>
      </c>
      <c r="B150" t="s">
        <v>416</v>
      </c>
      <c r="C150" t="s">
        <v>132</v>
      </c>
      <c r="D150" t="s">
        <v>31</v>
      </c>
      <c r="E150" t="s">
        <v>32</v>
      </c>
      <c r="F150" t="s">
        <v>33</v>
      </c>
      <c r="G150" s="30">
        <v>45338</v>
      </c>
      <c r="I150" s="1" t="str">
        <v>JUAN LAUREANO ROMERO PERALTA</v>
      </c>
      <c r="K150" s="1">
        <v>204203</v>
      </c>
      <c r="L150" t="s">
        <v>417</v>
      </c>
      <c r="M150" t="s">
        <v>33</v>
      </c>
    </row>
    <row r="151" spans="1:13" x14ac:dyDescent="0.35">
      <c r="A151" s="1">
        <v>204204</v>
      </c>
      <c r="B151" t="s">
        <v>418</v>
      </c>
      <c r="C151" t="s">
        <v>137</v>
      </c>
      <c r="D151" t="s">
        <v>54</v>
      </c>
      <c r="E151" t="s">
        <v>32</v>
      </c>
      <c r="F151" t="s">
        <v>157</v>
      </c>
      <c r="G151" s="30">
        <v>45338</v>
      </c>
      <c r="I151" s="1" t="str">
        <v>JUAN LOEZA CISNEROS</v>
      </c>
      <c r="K151" s="1">
        <v>204204</v>
      </c>
      <c r="L151" t="s">
        <v>419</v>
      </c>
      <c r="M151" t="s">
        <v>157</v>
      </c>
    </row>
    <row r="152" spans="1:13" x14ac:dyDescent="0.35">
      <c r="A152" s="1">
        <v>204207</v>
      </c>
      <c r="B152" t="s">
        <v>420</v>
      </c>
      <c r="C152" t="s">
        <v>383</v>
      </c>
      <c r="D152" t="s">
        <v>17</v>
      </c>
      <c r="E152" t="s">
        <v>32</v>
      </c>
      <c r="F152" t="s">
        <v>71</v>
      </c>
      <c r="G152" s="30">
        <v>45341</v>
      </c>
      <c r="I152" s="1" t="str">
        <v>JUAN PABLO DOMINGUEZ GARCIA</v>
      </c>
      <c r="K152" s="1">
        <v>204207</v>
      </c>
      <c r="L152" t="s">
        <v>421</v>
      </c>
      <c r="M152" t="s">
        <v>71</v>
      </c>
    </row>
    <row r="153" spans="1:13" x14ac:dyDescent="0.35">
      <c r="A153" s="1">
        <v>204210</v>
      </c>
      <c r="B153" t="s">
        <v>422</v>
      </c>
      <c r="C153" t="s">
        <v>18</v>
      </c>
      <c r="D153" t="s">
        <v>31</v>
      </c>
      <c r="E153" t="s">
        <v>32</v>
      </c>
      <c r="F153" t="s">
        <v>33</v>
      </c>
      <c r="G153" s="30">
        <v>45342</v>
      </c>
      <c r="I153" s="1" t="str">
        <v>JUAN PABLO OLAYO CARBAJAL</v>
      </c>
      <c r="K153" s="1">
        <v>204210</v>
      </c>
      <c r="L153" t="s">
        <v>423</v>
      </c>
      <c r="M153" t="s">
        <v>33</v>
      </c>
    </row>
    <row r="154" spans="1:13" x14ac:dyDescent="0.35">
      <c r="A154" s="1">
        <v>204218</v>
      </c>
      <c r="B154" t="s">
        <v>424</v>
      </c>
      <c r="C154" t="s">
        <v>425</v>
      </c>
      <c r="D154" t="s">
        <v>20</v>
      </c>
      <c r="E154" t="s">
        <v>38</v>
      </c>
      <c r="F154" t="s">
        <v>312</v>
      </c>
      <c r="G154" s="30">
        <v>45351</v>
      </c>
      <c r="I154" s="1" t="str">
        <v>JULIO CESAR LEPE GALLEGOS</v>
      </c>
      <c r="K154" s="1">
        <v>204218</v>
      </c>
      <c r="L154" t="s">
        <v>426</v>
      </c>
      <c r="M154" t="s">
        <v>312</v>
      </c>
    </row>
    <row r="155" spans="1:13" x14ac:dyDescent="0.35">
      <c r="A155" s="1">
        <v>204219</v>
      </c>
      <c r="B155" t="s">
        <v>427</v>
      </c>
      <c r="C155" t="s">
        <v>137</v>
      </c>
      <c r="D155" t="s">
        <v>125</v>
      </c>
      <c r="E155" t="s">
        <v>38</v>
      </c>
      <c r="F155" t="s">
        <v>126</v>
      </c>
      <c r="G155" s="30">
        <v>45351</v>
      </c>
      <c r="I155" s="1" t="str">
        <v>JULIO CESAR LOPEZ JIMENEZ</v>
      </c>
      <c r="K155" s="1">
        <v>204219</v>
      </c>
      <c r="L155" t="s">
        <v>428</v>
      </c>
      <c r="M155" t="s">
        <v>126</v>
      </c>
    </row>
    <row r="156" spans="1:13" x14ac:dyDescent="0.35">
      <c r="A156" s="1">
        <v>204231</v>
      </c>
      <c r="B156" t="s">
        <v>429</v>
      </c>
      <c r="C156" t="s">
        <v>367</v>
      </c>
      <c r="D156" t="s">
        <v>37</v>
      </c>
      <c r="E156" t="s">
        <v>38</v>
      </c>
      <c r="F156" t="s">
        <v>39</v>
      </c>
      <c r="G156" s="30">
        <v>45377</v>
      </c>
      <c r="I156" s="1" t="str">
        <v>KEVIN ALEJANDRO SOLIS LARIOS</v>
      </c>
      <c r="K156" s="1">
        <v>204231</v>
      </c>
      <c r="L156" t="s">
        <v>430</v>
      </c>
      <c r="M156" t="s">
        <v>39</v>
      </c>
    </row>
    <row r="157" spans="1:13" x14ac:dyDescent="0.35">
      <c r="A157" s="1">
        <v>204232</v>
      </c>
      <c r="B157" t="s">
        <v>431</v>
      </c>
      <c r="C157" t="s">
        <v>432</v>
      </c>
      <c r="D157" t="s">
        <v>125</v>
      </c>
      <c r="E157" t="s">
        <v>38</v>
      </c>
      <c r="F157" t="s">
        <v>224</v>
      </c>
      <c r="G157" s="30">
        <v>45379</v>
      </c>
      <c r="I157" s="1" t="str">
        <v>KEVIN ERNESTO FELIX GAZCA</v>
      </c>
      <c r="K157" s="1">
        <v>204232</v>
      </c>
      <c r="L157" t="s">
        <v>433</v>
      </c>
      <c r="M157" t="s">
        <v>224</v>
      </c>
    </row>
    <row r="158" spans="1:13" x14ac:dyDescent="0.35">
      <c r="A158" s="1">
        <v>204234</v>
      </c>
      <c r="B158" t="s">
        <v>79</v>
      </c>
      <c r="C158" t="s">
        <v>434</v>
      </c>
      <c r="D158" t="s">
        <v>78</v>
      </c>
      <c r="E158" t="s">
        <v>38</v>
      </c>
      <c r="F158" t="s">
        <v>224</v>
      </c>
      <c r="G158" s="30">
        <v>45386</v>
      </c>
      <c r="I158" s="1" t="str">
        <v>KIMBERLY MARIBEL GARCIA ESTRADA</v>
      </c>
      <c r="K158" s="1">
        <v>204234</v>
      </c>
      <c r="L158" t="s">
        <v>435</v>
      </c>
      <c r="M158" t="s">
        <v>224</v>
      </c>
    </row>
    <row r="159" spans="1:13" x14ac:dyDescent="0.35">
      <c r="A159" s="1">
        <v>204247</v>
      </c>
      <c r="B159" t="s">
        <v>318</v>
      </c>
      <c r="C159" t="s">
        <v>255</v>
      </c>
      <c r="D159" t="s">
        <v>236</v>
      </c>
      <c r="E159" t="s">
        <v>38</v>
      </c>
      <c r="F159" t="s">
        <v>113</v>
      </c>
      <c r="G159" s="30">
        <v>45405</v>
      </c>
      <c r="I159" s="1" t="str">
        <v>LAUREANO AMBROSIO ALVAREZ</v>
      </c>
      <c r="K159" s="1">
        <v>204247</v>
      </c>
      <c r="L159" t="s">
        <v>436</v>
      </c>
      <c r="M159" t="s">
        <v>113</v>
      </c>
    </row>
    <row r="160" spans="1:13" x14ac:dyDescent="0.35">
      <c r="A160" s="1">
        <v>204255</v>
      </c>
      <c r="B160" t="s">
        <v>437</v>
      </c>
      <c r="C160" t="s">
        <v>18</v>
      </c>
      <c r="D160" t="s">
        <v>31</v>
      </c>
      <c r="E160" t="s">
        <v>32</v>
      </c>
      <c r="F160" t="s">
        <v>33</v>
      </c>
      <c r="G160" s="30">
        <v>45408</v>
      </c>
      <c r="I160" s="1" t="str">
        <v>LEOBARDO GONZALEZ GONZALEZ</v>
      </c>
      <c r="K160" s="1">
        <v>204255</v>
      </c>
      <c r="L160" t="s">
        <v>438</v>
      </c>
      <c r="M160" t="s">
        <v>33</v>
      </c>
    </row>
    <row r="161" spans="1:13" x14ac:dyDescent="0.35">
      <c r="A161" s="1">
        <v>204257</v>
      </c>
      <c r="B161" t="s">
        <v>439</v>
      </c>
      <c r="C161" t="s">
        <v>440</v>
      </c>
      <c r="D161" t="s">
        <v>54</v>
      </c>
      <c r="E161" t="s">
        <v>32</v>
      </c>
      <c r="F161" t="s">
        <v>152</v>
      </c>
      <c r="G161" s="30">
        <v>45418</v>
      </c>
      <c r="I161" s="1" t="str">
        <v>LORENZO MATAMOROS MENDOZA</v>
      </c>
      <c r="K161" s="1">
        <v>204257</v>
      </c>
      <c r="L161" t="s">
        <v>441</v>
      </c>
      <c r="M161" t="s">
        <v>152</v>
      </c>
    </row>
    <row r="162" spans="1:13" x14ac:dyDescent="0.35">
      <c r="A162" s="1">
        <v>204264</v>
      </c>
      <c r="B162" t="s">
        <v>442</v>
      </c>
      <c r="C162" t="s">
        <v>386</v>
      </c>
      <c r="D162" t="s">
        <v>21</v>
      </c>
      <c r="E162" t="s">
        <v>43</v>
      </c>
      <c r="F162" t="s">
        <v>44</v>
      </c>
      <c r="G162" s="30">
        <v>45457</v>
      </c>
      <c r="I162" s="1" t="str">
        <v>LUCIO HERNANDEZ MENDOZA</v>
      </c>
      <c r="K162" s="1">
        <v>204264</v>
      </c>
      <c r="L162" t="s">
        <v>443</v>
      </c>
      <c r="M162" t="s">
        <v>44</v>
      </c>
    </row>
    <row r="163" spans="1:13" x14ac:dyDescent="0.35">
      <c r="A163" s="1">
        <v>204265</v>
      </c>
      <c r="B163" t="s">
        <v>444</v>
      </c>
      <c r="C163" t="s">
        <v>132</v>
      </c>
      <c r="D163" t="s">
        <v>20</v>
      </c>
      <c r="E163" t="s">
        <v>43</v>
      </c>
      <c r="F163" t="s">
        <v>312</v>
      </c>
      <c r="G163" s="30">
        <v>45426</v>
      </c>
      <c r="I163" s="1" t="str">
        <v>LUIS ADRIAN NUÑEZ ANDRADE</v>
      </c>
      <c r="K163" s="1">
        <v>204265</v>
      </c>
      <c r="L163" t="s">
        <v>445</v>
      </c>
      <c r="M163" t="s">
        <v>312</v>
      </c>
    </row>
    <row r="164" spans="1:13" x14ac:dyDescent="0.35">
      <c r="A164" s="1">
        <v>204274</v>
      </c>
      <c r="B164" t="s">
        <v>446</v>
      </c>
      <c r="C164" t="s">
        <v>447</v>
      </c>
      <c r="D164" t="s">
        <v>78</v>
      </c>
      <c r="E164" t="s">
        <v>38</v>
      </c>
      <c r="F164" t="s">
        <v>79</v>
      </c>
      <c r="G164" s="30">
        <v>45442</v>
      </c>
      <c r="I164" s="1" t="str">
        <v>LUIS ALBERTO VAZQUEZ HERNANDEZ</v>
      </c>
      <c r="K164" s="1">
        <v>204274</v>
      </c>
      <c r="L164" t="s">
        <v>448</v>
      </c>
      <c r="M164" t="s">
        <v>79</v>
      </c>
    </row>
    <row r="165" spans="1:13" x14ac:dyDescent="0.35">
      <c r="A165" s="1">
        <v>204275</v>
      </c>
      <c r="B165" t="s">
        <v>449</v>
      </c>
      <c r="C165" t="s">
        <v>132</v>
      </c>
      <c r="D165" t="s">
        <v>37</v>
      </c>
      <c r="E165" t="s">
        <v>38</v>
      </c>
      <c r="F165" t="s">
        <v>39</v>
      </c>
      <c r="G165" s="30">
        <v>45442</v>
      </c>
      <c r="I165" s="1" t="str">
        <v>LUIS ALEXIS PERALTA ZAVALA</v>
      </c>
      <c r="K165" s="1">
        <v>204275</v>
      </c>
      <c r="L165" t="s">
        <v>450</v>
      </c>
      <c r="M165" t="s">
        <v>39</v>
      </c>
    </row>
    <row r="166" spans="1:13" x14ac:dyDescent="0.35">
      <c r="A166" s="1">
        <v>204304</v>
      </c>
      <c r="B166" t="s">
        <v>451</v>
      </c>
      <c r="C166" t="s">
        <v>137</v>
      </c>
      <c r="D166" t="s">
        <v>16</v>
      </c>
      <c r="E166" t="s">
        <v>32</v>
      </c>
      <c r="F166" t="s">
        <v>55</v>
      </c>
      <c r="G166" s="30">
        <v>45456</v>
      </c>
      <c r="I166" s="1" t="str">
        <v>LUIS ALFREDO MADRIGAL CANDELARIO</v>
      </c>
      <c r="K166" s="1">
        <v>204304</v>
      </c>
      <c r="L166" t="s">
        <v>452</v>
      </c>
      <c r="M166" t="s">
        <v>55</v>
      </c>
    </row>
    <row r="167" spans="1:13" x14ac:dyDescent="0.35">
      <c r="A167" s="1">
        <v>204315</v>
      </c>
      <c r="B167" t="s">
        <v>453</v>
      </c>
      <c r="C167" t="s">
        <v>137</v>
      </c>
      <c r="D167" t="s">
        <v>16</v>
      </c>
      <c r="E167" t="s">
        <v>32</v>
      </c>
      <c r="F167" t="s">
        <v>55</v>
      </c>
      <c r="G167" s="30">
        <v>45464</v>
      </c>
      <c r="I167" s="1" t="str">
        <v>LUIS CRUZ</v>
      </c>
      <c r="K167" s="1">
        <v>204315</v>
      </c>
      <c r="L167" t="s">
        <v>454</v>
      </c>
      <c r="M167" t="s">
        <v>55</v>
      </c>
    </row>
    <row r="168" spans="1:13" x14ac:dyDescent="0.35">
      <c r="A168" s="1">
        <v>204325</v>
      </c>
      <c r="B168" t="s">
        <v>455</v>
      </c>
      <c r="C168" t="s">
        <v>77</v>
      </c>
      <c r="D168" t="s">
        <v>78</v>
      </c>
      <c r="E168" t="s">
        <v>38</v>
      </c>
      <c r="F168" t="s">
        <v>79</v>
      </c>
      <c r="G168" s="30">
        <v>45475</v>
      </c>
      <c r="I168" s="1" t="str">
        <v>LUIS DAVID CHAVEZ BRITO</v>
      </c>
      <c r="K168" s="1">
        <v>204325</v>
      </c>
      <c r="L168" t="s">
        <v>456</v>
      </c>
      <c r="M168" t="s">
        <v>79</v>
      </c>
    </row>
    <row r="169" spans="1:13" x14ac:dyDescent="0.35">
      <c r="A169" s="1">
        <v>204332</v>
      </c>
      <c r="B169" t="s">
        <v>152</v>
      </c>
      <c r="C169" t="s">
        <v>129</v>
      </c>
      <c r="D169" t="s">
        <v>115</v>
      </c>
      <c r="E169" t="s">
        <v>43</v>
      </c>
      <c r="F169" t="s">
        <v>113</v>
      </c>
      <c r="G169" s="30">
        <v>45477</v>
      </c>
      <c r="I169" s="1" t="str">
        <v>LUIS ENRIQUE GARCIA HERNÁNDEZ</v>
      </c>
      <c r="K169" s="1">
        <v>204332</v>
      </c>
      <c r="L169" t="s">
        <v>457</v>
      </c>
      <c r="M169" t="s">
        <v>113</v>
      </c>
    </row>
    <row r="170" spans="1:13" x14ac:dyDescent="0.35">
      <c r="A170" s="1">
        <v>204333</v>
      </c>
      <c r="B170" t="s">
        <v>458</v>
      </c>
      <c r="C170" t="s">
        <v>132</v>
      </c>
      <c r="D170" t="s">
        <v>17</v>
      </c>
      <c r="E170" t="s">
        <v>32</v>
      </c>
      <c r="F170" t="s">
        <v>71</v>
      </c>
      <c r="G170" s="30">
        <v>45481</v>
      </c>
      <c r="I170" s="1" t="str">
        <v>LUIS ENRIQUE MEZA MENDEZ</v>
      </c>
      <c r="K170" s="1">
        <v>204333</v>
      </c>
      <c r="L170" t="s">
        <v>459</v>
      </c>
      <c r="M170" t="s">
        <v>71</v>
      </c>
    </row>
    <row r="171" spans="1:13" x14ac:dyDescent="0.35">
      <c r="A171" s="1">
        <v>204335</v>
      </c>
      <c r="B171" t="s">
        <v>460</v>
      </c>
      <c r="C171" t="s">
        <v>168</v>
      </c>
      <c r="D171" t="s">
        <v>16</v>
      </c>
      <c r="E171" t="s">
        <v>32</v>
      </c>
      <c r="F171" t="s">
        <v>92</v>
      </c>
      <c r="G171" s="30">
        <v>45485</v>
      </c>
      <c r="I171" s="1" t="str">
        <v>LUIS ENRIQUE NARANJO ZACARIAS</v>
      </c>
      <c r="K171" s="1">
        <v>204335</v>
      </c>
      <c r="L171" t="s">
        <v>461</v>
      </c>
      <c r="M171" t="s">
        <v>92</v>
      </c>
    </row>
    <row r="172" spans="1:13" x14ac:dyDescent="0.35">
      <c r="A172" s="1">
        <v>204337</v>
      </c>
      <c r="B172" t="s">
        <v>462</v>
      </c>
      <c r="C172" t="s">
        <v>132</v>
      </c>
      <c r="D172" t="s">
        <v>16</v>
      </c>
      <c r="E172" t="s">
        <v>32</v>
      </c>
      <c r="F172" t="s">
        <v>157</v>
      </c>
      <c r="G172" s="30">
        <v>45485</v>
      </c>
      <c r="I172" s="1" t="str">
        <v>LUIS MATAMOROS MENDOZA</v>
      </c>
      <c r="K172" s="1">
        <v>204337</v>
      </c>
      <c r="L172" t="s">
        <v>463</v>
      </c>
      <c r="M172" t="s">
        <v>157</v>
      </c>
    </row>
    <row r="173" spans="1:13" x14ac:dyDescent="0.35">
      <c r="A173" s="1">
        <v>204343</v>
      </c>
      <c r="B173" t="s">
        <v>464</v>
      </c>
      <c r="C173" t="s">
        <v>465</v>
      </c>
      <c r="D173" t="s">
        <v>466</v>
      </c>
      <c r="E173" t="s">
        <v>43</v>
      </c>
      <c r="F173" t="s">
        <v>467</v>
      </c>
      <c r="G173" s="30">
        <v>45488</v>
      </c>
      <c r="I173" s="1" t="str">
        <v>LUIS RAMON DE HOYOS TORRES</v>
      </c>
      <c r="K173" s="1">
        <v>204343</v>
      </c>
      <c r="L173" t="s">
        <v>468</v>
      </c>
      <c r="M173" t="s">
        <v>467</v>
      </c>
    </row>
    <row r="174" spans="1:13" x14ac:dyDescent="0.35">
      <c r="A174" s="1">
        <v>204346</v>
      </c>
      <c r="B174" t="s">
        <v>469</v>
      </c>
      <c r="C174" t="s">
        <v>149</v>
      </c>
      <c r="D174" t="s">
        <v>125</v>
      </c>
      <c r="E174" t="s">
        <v>38</v>
      </c>
      <c r="F174" t="s">
        <v>126</v>
      </c>
      <c r="G174" s="30">
        <v>45495</v>
      </c>
      <c r="I174" s="1" t="str">
        <v>MANUEL ALBERTO RANGEL MENDOZA</v>
      </c>
      <c r="K174" s="1">
        <v>204346</v>
      </c>
      <c r="L174" t="s">
        <v>470</v>
      </c>
      <c r="M174" t="s">
        <v>126</v>
      </c>
    </row>
    <row r="175" spans="1:13" x14ac:dyDescent="0.35">
      <c r="A175" s="1">
        <v>204347</v>
      </c>
      <c r="B175" t="s">
        <v>471</v>
      </c>
      <c r="C175" t="s">
        <v>132</v>
      </c>
      <c r="D175" t="s">
        <v>16</v>
      </c>
      <c r="E175" t="s">
        <v>32</v>
      </c>
      <c r="F175" t="s">
        <v>92</v>
      </c>
      <c r="G175" s="30">
        <v>45495</v>
      </c>
      <c r="I175" s="1" t="str">
        <v>MANUEL ALEJANDRO RAMIREZ CASTAN</v>
      </c>
      <c r="K175" s="1">
        <v>204347</v>
      </c>
      <c r="L175" t="s">
        <v>472</v>
      </c>
      <c r="M175" t="s">
        <v>92</v>
      </c>
    </row>
    <row r="176" spans="1:13" x14ac:dyDescent="0.35">
      <c r="A176" s="1">
        <v>204357</v>
      </c>
      <c r="B176" t="s">
        <v>473</v>
      </c>
      <c r="C176" t="s">
        <v>137</v>
      </c>
      <c r="D176" t="s">
        <v>16</v>
      </c>
      <c r="E176" t="s">
        <v>32</v>
      </c>
      <c r="F176" t="s">
        <v>92</v>
      </c>
      <c r="G176" s="30">
        <v>45503</v>
      </c>
      <c r="I176" s="1" t="str">
        <v>MANUEL JOAQUIN ORTA CORDOBA</v>
      </c>
      <c r="K176" s="1">
        <v>204357</v>
      </c>
      <c r="L176" t="s">
        <v>474</v>
      </c>
      <c r="M176" t="s">
        <v>92</v>
      </c>
    </row>
    <row r="177" spans="1:13" x14ac:dyDescent="0.35">
      <c r="A177" s="1">
        <v>204358</v>
      </c>
      <c r="B177" t="s">
        <v>475</v>
      </c>
      <c r="C177" t="s">
        <v>132</v>
      </c>
      <c r="D177" t="s">
        <v>37</v>
      </c>
      <c r="E177" t="s">
        <v>38</v>
      </c>
      <c r="F177" t="s">
        <v>39</v>
      </c>
      <c r="G177" s="30">
        <v>45506</v>
      </c>
      <c r="I177" s="1" t="str">
        <v>MARCELO TOTO SEBA</v>
      </c>
      <c r="K177" s="1">
        <v>204358</v>
      </c>
      <c r="L177" t="s">
        <v>476</v>
      </c>
      <c r="M177" t="s">
        <v>39</v>
      </c>
    </row>
    <row r="178" spans="1:13" x14ac:dyDescent="0.35">
      <c r="A178" s="1">
        <v>204361</v>
      </c>
      <c r="B178" t="s">
        <v>477</v>
      </c>
      <c r="C178" t="s">
        <v>190</v>
      </c>
      <c r="D178" t="s">
        <v>17</v>
      </c>
      <c r="E178" t="s">
        <v>32</v>
      </c>
      <c r="F178" t="s">
        <v>71</v>
      </c>
      <c r="G178" s="30">
        <v>45509</v>
      </c>
      <c r="I178" s="1" t="str">
        <v>MARCO ANTONIO AVENDAÑO GILBERT</v>
      </c>
      <c r="K178" s="1">
        <v>204361</v>
      </c>
      <c r="L178" t="s">
        <v>478</v>
      </c>
      <c r="M178" t="s">
        <v>71</v>
      </c>
    </row>
    <row r="179" spans="1:13" x14ac:dyDescent="0.35">
      <c r="A179" s="1">
        <v>204362</v>
      </c>
      <c r="B179" t="s">
        <v>479</v>
      </c>
      <c r="C179" t="s">
        <v>480</v>
      </c>
      <c r="D179" t="s">
        <v>125</v>
      </c>
      <c r="E179" t="s">
        <v>38</v>
      </c>
      <c r="F179" t="s">
        <v>481</v>
      </c>
      <c r="G179" s="30">
        <v>45509</v>
      </c>
      <c r="I179" s="1" t="str">
        <v>MARCO ANTONIO PORTILLO COTA</v>
      </c>
      <c r="K179" s="1">
        <v>204362</v>
      </c>
      <c r="L179" t="s">
        <v>482</v>
      </c>
      <c r="M179" t="s">
        <v>481</v>
      </c>
    </row>
    <row r="180" spans="1:13" x14ac:dyDescent="0.35">
      <c r="A180" s="1">
        <v>204365</v>
      </c>
      <c r="B180" t="s">
        <v>483</v>
      </c>
      <c r="C180" t="s">
        <v>132</v>
      </c>
      <c r="D180" t="s">
        <v>17</v>
      </c>
      <c r="E180" t="s">
        <v>32</v>
      </c>
      <c r="F180" t="s">
        <v>71</v>
      </c>
      <c r="G180" s="30">
        <v>45512</v>
      </c>
      <c r="I180" s="1" t="str">
        <v>MARCO ANTONIO PORTILLO HIGUERA</v>
      </c>
      <c r="K180" s="1">
        <v>204365</v>
      </c>
      <c r="L180" t="s">
        <v>484</v>
      </c>
      <c r="M180" t="s">
        <v>71</v>
      </c>
    </row>
    <row r="181" spans="1:13" x14ac:dyDescent="0.35">
      <c r="A181" s="1">
        <v>204368</v>
      </c>
      <c r="B181" t="s">
        <v>485</v>
      </c>
      <c r="C181" t="s">
        <v>160</v>
      </c>
      <c r="D181" t="s">
        <v>161</v>
      </c>
      <c r="E181" t="s">
        <v>38</v>
      </c>
      <c r="F181" t="s">
        <v>162</v>
      </c>
      <c r="G181" s="30">
        <v>45517</v>
      </c>
      <c r="I181" s="1" t="str">
        <v>MARCOS ANTONIO LOZANO MACHADO</v>
      </c>
      <c r="K181" s="1">
        <v>204368</v>
      </c>
      <c r="L181" t="s">
        <v>486</v>
      </c>
      <c r="M181" t="s">
        <v>162</v>
      </c>
    </row>
    <row r="182" spans="1:13" x14ac:dyDescent="0.35">
      <c r="A182" s="1">
        <v>204371</v>
      </c>
      <c r="B182" t="s">
        <v>487</v>
      </c>
      <c r="C182" t="s">
        <v>77</v>
      </c>
      <c r="D182" t="s">
        <v>78</v>
      </c>
      <c r="E182" t="s">
        <v>38</v>
      </c>
      <c r="F182" t="s">
        <v>79</v>
      </c>
      <c r="G182" s="30">
        <v>45519</v>
      </c>
      <c r="I182" s="1" t="str">
        <v>MARIA DANIELA MOLINA MORENO</v>
      </c>
      <c r="K182" s="1">
        <v>204371</v>
      </c>
      <c r="L182" t="s">
        <v>488</v>
      </c>
      <c r="M182" t="s">
        <v>79</v>
      </c>
    </row>
    <row r="183" spans="1:13" x14ac:dyDescent="0.35">
      <c r="A183" s="1">
        <v>204375</v>
      </c>
      <c r="B183" t="s">
        <v>489</v>
      </c>
      <c r="C183" t="s">
        <v>490</v>
      </c>
      <c r="D183" t="s">
        <v>125</v>
      </c>
      <c r="E183" t="s">
        <v>38</v>
      </c>
      <c r="F183" t="s">
        <v>126</v>
      </c>
      <c r="G183" s="30">
        <v>45523</v>
      </c>
      <c r="I183" s="1" t="str">
        <v>MARIO ALBERTO MAQUEDA GARCIA</v>
      </c>
      <c r="K183" s="1">
        <v>204375</v>
      </c>
      <c r="L183" t="s">
        <v>491</v>
      </c>
      <c r="M183" t="s">
        <v>126</v>
      </c>
    </row>
    <row r="184" spans="1:13" x14ac:dyDescent="0.35">
      <c r="A184" s="1">
        <v>204380</v>
      </c>
      <c r="B184" t="s">
        <v>492</v>
      </c>
      <c r="C184" t="s">
        <v>132</v>
      </c>
      <c r="D184" t="s">
        <v>16</v>
      </c>
      <c r="E184" t="s">
        <v>32</v>
      </c>
      <c r="F184" t="s">
        <v>157</v>
      </c>
      <c r="G184" s="30">
        <v>45526</v>
      </c>
      <c r="I184" s="1" t="str">
        <v>MARIO CALDERON REAL</v>
      </c>
      <c r="K184" s="1">
        <v>204380</v>
      </c>
      <c r="L184" t="s">
        <v>493</v>
      </c>
      <c r="M184" t="s">
        <v>157</v>
      </c>
    </row>
    <row r="185" spans="1:13" x14ac:dyDescent="0.35">
      <c r="A185" s="1">
        <v>204383</v>
      </c>
      <c r="B185" t="s">
        <v>494</v>
      </c>
      <c r="C185" t="s">
        <v>168</v>
      </c>
      <c r="D185" t="s">
        <v>16</v>
      </c>
      <c r="E185" t="s">
        <v>32</v>
      </c>
      <c r="F185" t="s">
        <v>48</v>
      </c>
      <c r="G185" s="30">
        <v>45531</v>
      </c>
      <c r="I185" s="1" t="str">
        <v>MARIO SANCHEZ CORONA</v>
      </c>
      <c r="K185" s="1">
        <v>204383</v>
      </c>
      <c r="L185" t="s">
        <v>495</v>
      </c>
      <c r="M185" t="s">
        <v>48</v>
      </c>
    </row>
    <row r="186" spans="1:13" x14ac:dyDescent="0.35">
      <c r="A186" s="1">
        <v>204385</v>
      </c>
      <c r="B186" t="s">
        <v>496</v>
      </c>
      <c r="C186" t="s">
        <v>132</v>
      </c>
      <c r="D186" t="s">
        <v>17</v>
      </c>
      <c r="E186" t="s">
        <v>32</v>
      </c>
      <c r="F186" t="s">
        <v>71</v>
      </c>
      <c r="G186" s="30">
        <v>45531</v>
      </c>
      <c r="I186" s="1" t="str">
        <v>MARIO VICENTE GUTIERREZ RUIZ</v>
      </c>
      <c r="K186" s="1">
        <v>204385</v>
      </c>
      <c r="L186" t="s">
        <v>497</v>
      </c>
      <c r="M186" t="s">
        <v>71</v>
      </c>
    </row>
    <row r="187" spans="1:13" x14ac:dyDescent="0.35">
      <c r="A187" s="1">
        <v>204386</v>
      </c>
      <c r="B187" t="s">
        <v>498</v>
      </c>
      <c r="C187" t="s">
        <v>77</v>
      </c>
      <c r="D187" t="s">
        <v>78</v>
      </c>
      <c r="E187" t="s">
        <v>38</v>
      </c>
      <c r="F187" t="s">
        <v>79</v>
      </c>
      <c r="G187" s="30">
        <v>45531</v>
      </c>
      <c r="I187" s="1" t="str">
        <v>MARISELA MENDEZ ALTEHUA</v>
      </c>
      <c r="K187" s="1">
        <v>204386</v>
      </c>
      <c r="L187" t="s">
        <v>499</v>
      </c>
      <c r="M187" t="s">
        <v>79</v>
      </c>
    </row>
    <row r="188" spans="1:13" x14ac:dyDescent="0.35">
      <c r="A188" s="1">
        <v>204388</v>
      </c>
      <c r="B188" t="s">
        <v>500</v>
      </c>
      <c r="C188" t="s">
        <v>132</v>
      </c>
      <c r="D188" t="s">
        <v>37</v>
      </c>
      <c r="E188" t="s">
        <v>38</v>
      </c>
      <c r="F188" t="s">
        <v>39</v>
      </c>
      <c r="G188" s="30">
        <v>45533</v>
      </c>
      <c r="I188" s="1" t="str">
        <v>MARTIN HERNANDEZ MARTINEZ</v>
      </c>
      <c r="K188" s="1">
        <v>204388</v>
      </c>
      <c r="L188" t="s">
        <v>501</v>
      </c>
      <c r="M188" t="s">
        <v>39</v>
      </c>
    </row>
    <row r="189" spans="1:13" x14ac:dyDescent="0.35">
      <c r="A189" s="1">
        <v>204389</v>
      </c>
      <c r="B189" t="s">
        <v>502</v>
      </c>
      <c r="C189" t="s">
        <v>132</v>
      </c>
      <c r="D189" t="s">
        <v>31</v>
      </c>
      <c r="E189" t="s">
        <v>32</v>
      </c>
      <c r="F189" t="s">
        <v>33</v>
      </c>
      <c r="G189" s="30">
        <v>45533</v>
      </c>
      <c r="I189" s="1" t="str">
        <v>MARTIN SALINAS GONZALEZ</v>
      </c>
      <c r="K189" s="1">
        <v>204389</v>
      </c>
      <c r="L189" t="s">
        <v>503</v>
      </c>
      <c r="M189" t="s">
        <v>33</v>
      </c>
    </row>
    <row r="190" spans="1:13" x14ac:dyDescent="0.35">
      <c r="A190" s="1">
        <v>204394</v>
      </c>
      <c r="B190" t="s">
        <v>504</v>
      </c>
      <c r="C190" t="s">
        <v>168</v>
      </c>
      <c r="D190" t="s">
        <v>16</v>
      </c>
      <c r="E190" t="s">
        <v>32</v>
      </c>
      <c r="F190" t="s">
        <v>55</v>
      </c>
      <c r="G190" s="30">
        <v>45540</v>
      </c>
      <c r="I190" s="1" t="str">
        <v>MARTIN SOLIS FERREL</v>
      </c>
      <c r="K190" s="1">
        <v>204394</v>
      </c>
      <c r="L190" t="s">
        <v>505</v>
      </c>
      <c r="M190" t="s">
        <v>55</v>
      </c>
    </row>
    <row r="191" spans="1:13" x14ac:dyDescent="0.35">
      <c r="A191" s="1">
        <v>204399</v>
      </c>
      <c r="B191" t="s">
        <v>506</v>
      </c>
      <c r="C191" t="s">
        <v>132</v>
      </c>
      <c r="D191" t="s">
        <v>17</v>
      </c>
      <c r="E191" t="s">
        <v>32</v>
      </c>
      <c r="F191" t="s">
        <v>71</v>
      </c>
      <c r="G191" s="30">
        <v>45552</v>
      </c>
      <c r="I191" s="1" t="str">
        <v>MARTIN VICTOR VILLALOBOS GALVAN</v>
      </c>
      <c r="K191" s="1">
        <v>204399</v>
      </c>
      <c r="L191" t="s">
        <v>507</v>
      </c>
      <c r="M191" t="s">
        <v>71</v>
      </c>
    </row>
    <row r="192" spans="1:13" x14ac:dyDescent="0.35">
      <c r="A192" s="1">
        <v>204400</v>
      </c>
      <c r="B192" t="s">
        <v>508</v>
      </c>
      <c r="C192" t="s">
        <v>168</v>
      </c>
      <c r="D192" t="s">
        <v>16</v>
      </c>
      <c r="E192" t="s">
        <v>32</v>
      </c>
      <c r="F192" t="s">
        <v>152</v>
      </c>
      <c r="G192" s="30">
        <v>45552</v>
      </c>
      <c r="I192" s="1" t="str">
        <v>MAURICIO DE LA CRUZ MARTINEZ</v>
      </c>
      <c r="K192" s="1">
        <v>204400</v>
      </c>
      <c r="L192" t="s">
        <v>509</v>
      </c>
      <c r="M192" t="s">
        <v>152</v>
      </c>
    </row>
    <row r="193" spans="1:13" x14ac:dyDescent="0.35">
      <c r="A193" s="1">
        <v>204401</v>
      </c>
      <c r="B193" t="s">
        <v>510</v>
      </c>
      <c r="C193" t="s">
        <v>511</v>
      </c>
      <c r="D193" t="s">
        <v>115</v>
      </c>
      <c r="E193" t="s">
        <v>38</v>
      </c>
      <c r="F193" t="s">
        <v>61</v>
      </c>
      <c r="G193" s="30">
        <v>45554</v>
      </c>
      <c r="I193" s="1" t="str">
        <v>MELISSA HERNANDEZ MEAVE</v>
      </c>
      <c r="K193" s="1">
        <v>204401</v>
      </c>
      <c r="L193" t="s">
        <v>512</v>
      </c>
      <c r="M193" t="s">
        <v>61</v>
      </c>
    </row>
    <row r="194" spans="1:13" x14ac:dyDescent="0.35">
      <c r="A194" s="1">
        <v>204402</v>
      </c>
      <c r="B194" t="s">
        <v>513</v>
      </c>
      <c r="C194" t="s">
        <v>132</v>
      </c>
      <c r="D194" t="s">
        <v>54</v>
      </c>
      <c r="E194" t="s">
        <v>32</v>
      </c>
      <c r="F194" t="s">
        <v>92</v>
      </c>
      <c r="G194" s="30">
        <v>45554</v>
      </c>
      <c r="I194" s="1" t="str">
        <v>MICHELLE ANGEL SANCHEZ FLORES</v>
      </c>
      <c r="K194" s="1">
        <v>204402</v>
      </c>
      <c r="L194" t="s">
        <v>514</v>
      </c>
      <c r="M194" t="s">
        <v>92</v>
      </c>
    </row>
    <row r="195" spans="1:13" x14ac:dyDescent="0.35">
      <c r="A195" s="1">
        <v>204403</v>
      </c>
      <c r="B195" t="s">
        <v>515</v>
      </c>
      <c r="C195" t="s">
        <v>77</v>
      </c>
      <c r="D195" t="s">
        <v>78</v>
      </c>
      <c r="E195" t="s">
        <v>38</v>
      </c>
      <c r="F195" t="s">
        <v>79</v>
      </c>
      <c r="G195" s="30">
        <v>45554</v>
      </c>
      <c r="I195" s="1" t="str">
        <v>MIGUEL ANGEL CASILLAS MEDINA</v>
      </c>
      <c r="K195" s="1">
        <v>204403</v>
      </c>
      <c r="L195" t="s">
        <v>516</v>
      </c>
      <c r="M195" t="s">
        <v>79</v>
      </c>
    </row>
    <row r="196" spans="1:13" x14ac:dyDescent="0.35">
      <c r="A196" s="1">
        <v>204404</v>
      </c>
      <c r="B196" t="s">
        <v>517</v>
      </c>
      <c r="C196" t="s">
        <v>132</v>
      </c>
      <c r="D196" t="s">
        <v>16</v>
      </c>
      <c r="E196" t="s">
        <v>32</v>
      </c>
      <c r="F196" t="s">
        <v>152</v>
      </c>
      <c r="G196" s="30">
        <v>45555</v>
      </c>
      <c r="I196" s="1" t="str">
        <v>MIGUEL ANGEL GONZALEZ DIAZ</v>
      </c>
      <c r="K196" s="1">
        <v>204404</v>
      </c>
      <c r="L196" t="s">
        <v>518</v>
      </c>
      <c r="M196" t="s">
        <v>152</v>
      </c>
    </row>
    <row r="197" spans="1:13" x14ac:dyDescent="0.35">
      <c r="A197" s="1">
        <v>204408</v>
      </c>
      <c r="B197" t="s">
        <v>519</v>
      </c>
      <c r="C197" t="s">
        <v>132</v>
      </c>
      <c r="D197" t="s">
        <v>21</v>
      </c>
      <c r="E197" t="s">
        <v>43</v>
      </c>
      <c r="F197" t="s">
        <v>44</v>
      </c>
      <c r="G197" s="30">
        <v>45559</v>
      </c>
      <c r="I197" s="1" t="str">
        <v>MIGUEL ANGEL MADRIGAL FLORES</v>
      </c>
      <c r="K197" s="1">
        <v>204408</v>
      </c>
      <c r="L197" t="s">
        <v>520</v>
      </c>
      <c r="M197" t="s">
        <v>44</v>
      </c>
    </row>
    <row r="198" spans="1:13" x14ac:dyDescent="0.35">
      <c r="A198" s="1">
        <v>204409</v>
      </c>
      <c r="B198" t="s">
        <v>521</v>
      </c>
      <c r="C198" t="s">
        <v>132</v>
      </c>
      <c r="D198" t="s">
        <v>21</v>
      </c>
      <c r="E198" t="s">
        <v>43</v>
      </c>
      <c r="F198" t="s">
        <v>44</v>
      </c>
      <c r="G198" s="30">
        <v>45561</v>
      </c>
      <c r="I198" s="1" t="str">
        <v>MIGUEL ANGEL MORALES DOMINGUEZ</v>
      </c>
      <c r="K198" s="1">
        <v>204409</v>
      </c>
      <c r="L198" t="s">
        <v>522</v>
      </c>
      <c r="M198" t="s">
        <v>44</v>
      </c>
    </row>
    <row r="199" spans="1:13" x14ac:dyDescent="0.35">
      <c r="A199" s="1">
        <v>204413</v>
      </c>
      <c r="B199" t="s">
        <v>523</v>
      </c>
      <c r="C199" t="s">
        <v>235</v>
      </c>
      <c r="D199" t="s">
        <v>236</v>
      </c>
      <c r="E199" t="s">
        <v>38</v>
      </c>
      <c r="F199" t="s">
        <v>237</v>
      </c>
      <c r="G199" s="30">
        <v>45565</v>
      </c>
      <c r="I199" s="1" t="str">
        <v>MIGUEL ANGEL VALDESPINO MARES</v>
      </c>
      <c r="K199" s="1">
        <v>204413</v>
      </c>
      <c r="L199" t="s">
        <v>524</v>
      </c>
      <c r="M199" t="s">
        <v>237</v>
      </c>
    </row>
    <row r="200" spans="1:13" x14ac:dyDescent="0.35">
      <c r="A200" s="1">
        <v>204418</v>
      </c>
      <c r="B200" t="s">
        <v>525</v>
      </c>
      <c r="C200" t="s">
        <v>386</v>
      </c>
      <c r="D200" t="s">
        <v>21</v>
      </c>
      <c r="E200" t="s">
        <v>43</v>
      </c>
      <c r="F200" t="s">
        <v>44</v>
      </c>
      <c r="G200" s="30">
        <v>45569</v>
      </c>
      <c r="I200" s="1" t="str">
        <v>MIGUEL EDUARDO SOTO PEREZ</v>
      </c>
      <c r="K200" s="1">
        <v>204418</v>
      </c>
      <c r="L200" t="s">
        <v>526</v>
      </c>
      <c r="M200" t="s">
        <v>44</v>
      </c>
    </row>
    <row r="201" spans="1:13" x14ac:dyDescent="0.35">
      <c r="A201" s="1">
        <v>204425</v>
      </c>
      <c r="B201" t="s">
        <v>527</v>
      </c>
      <c r="C201" t="s">
        <v>132</v>
      </c>
      <c r="D201" t="s">
        <v>31</v>
      </c>
      <c r="E201" t="s">
        <v>32</v>
      </c>
      <c r="F201" t="s">
        <v>33</v>
      </c>
      <c r="G201" s="30">
        <v>45582</v>
      </c>
      <c r="I201" s="1" t="str">
        <v>NICOLAS TLAPA SOLANO</v>
      </c>
      <c r="K201" s="1">
        <v>204425</v>
      </c>
      <c r="L201" t="s">
        <v>528</v>
      </c>
      <c r="M201" t="s">
        <v>33</v>
      </c>
    </row>
    <row r="202" spans="1:13" x14ac:dyDescent="0.35">
      <c r="A202" s="1">
        <v>204427</v>
      </c>
      <c r="B202" t="s">
        <v>529</v>
      </c>
      <c r="C202" t="s">
        <v>132</v>
      </c>
      <c r="D202" t="s">
        <v>31</v>
      </c>
      <c r="E202" t="s">
        <v>32</v>
      </c>
      <c r="F202" t="s">
        <v>33</v>
      </c>
      <c r="G202" s="30">
        <v>45589</v>
      </c>
      <c r="I202" s="1" t="str">
        <v>OCTAVIO ROBLES SARABIA</v>
      </c>
      <c r="K202" s="1">
        <v>204427</v>
      </c>
      <c r="L202" t="s">
        <v>530</v>
      </c>
      <c r="M202" t="s">
        <v>33</v>
      </c>
    </row>
    <row r="203" spans="1:13" x14ac:dyDescent="0.35">
      <c r="A203" s="1">
        <v>204429</v>
      </c>
      <c r="B203" t="s">
        <v>531</v>
      </c>
      <c r="C203" t="s">
        <v>132</v>
      </c>
      <c r="D203" t="s">
        <v>21</v>
      </c>
      <c r="E203" t="s">
        <v>43</v>
      </c>
      <c r="F203" t="s">
        <v>44</v>
      </c>
      <c r="G203" s="30">
        <v>45589</v>
      </c>
      <c r="I203" s="1" t="str">
        <v>ONIX RONIEL COSSIO CEBALLOS</v>
      </c>
      <c r="K203" s="1">
        <v>204429</v>
      </c>
      <c r="L203" t="s">
        <v>532</v>
      </c>
      <c r="M203" t="s">
        <v>44</v>
      </c>
    </row>
    <row r="204" spans="1:13" x14ac:dyDescent="0.35">
      <c r="A204" s="1">
        <v>204435</v>
      </c>
      <c r="B204" t="s">
        <v>533</v>
      </c>
      <c r="C204" t="s">
        <v>149</v>
      </c>
      <c r="D204" t="s">
        <v>125</v>
      </c>
      <c r="E204" t="s">
        <v>38</v>
      </c>
      <c r="F204" t="s">
        <v>126</v>
      </c>
      <c r="G204" s="30">
        <v>45601</v>
      </c>
      <c r="I204" s="1" t="str">
        <v>ORLANDO SAUL MENDOZA ARMENTA</v>
      </c>
      <c r="K204" s="1">
        <v>204435</v>
      </c>
      <c r="L204" t="s">
        <v>534</v>
      </c>
      <c r="M204" t="s">
        <v>126</v>
      </c>
    </row>
    <row r="205" spans="1:13" x14ac:dyDescent="0.35">
      <c r="A205" s="1">
        <v>204438</v>
      </c>
      <c r="B205" t="s">
        <v>535</v>
      </c>
      <c r="C205" t="s">
        <v>132</v>
      </c>
      <c r="D205" t="s">
        <v>16</v>
      </c>
      <c r="E205" t="s">
        <v>32</v>
      </c>
      <c r="F205" t="s">
        <v>48</v>
      </c>
      <c r="G205" s="30">
        <v>45603</v>
      </c>
      <c r="I205" s="1" t="str">
        <v>OSCAR DAVALOS VALENCIA</v>
      </c>
      <c r="K205" s="1">
        <v>204438</v>
      </c>
      <c r="L205" t="s">
        <v>536</v>
      </c>
      <c r="M205" t="s">
        <v>48</v>
      </c>
    </row>
    <row r="206" spans="1:13" x14ac:dyDescent="0.35">
      <c r="A206" s="1">
        <v>204444</v>
      </c>
      <c r="B206" t="s">
        <v>537</v>
      </c>
      <c r="C206" t="s">
        <v>132</v>
      </c>
      <c r="D206" t="s">
        <v>16</v>
      </c>
      <c r="E206" t="s">
        <v>32</v>
      </c>
      <c r="F206" t="s">
        <v>55</v>
      </c>
      <c r="G206" s="30">
        <v>45622</v>
      </c>
      <c r="I206" s="1" t="str">
        <v>PABLO ISMAEL DEL POZO SILVA</v>
      </c>
      <c r="K206" s="1">
        <v>204444</v>
      </c>
      <c r="L206" t="s">
        <v>538</v>
      </c>
      <c r="M206" t="s">
        <v>55</v>
      </c>
    </row>
    <row r="207" spans="1:13" x14ac:dyDescent="0.35">
      <c r="A207" s="1">
        <v>204446</v>
      </c>
      <c r="B207" t="s">
        <v>539</v>
      </c>
      <c r="C207" t="s">
        <v>132</v>
      </c>
      <c r="D207" t="s">
        <v>21</v>
      </c>
      <c r="E207" t="s">
        <v>43</v>
      </c>
      <c r="F207" t="s">
        <v>44</v>
      </c>
      <c r="G207" s="30">
        <v>45631</v>
      </c>
      <c r="I207" s="1" t="str">
        <v>PANTALEON AVALOS VAZQUEZ</v>
      </c>
      <c r="K207" s="1">
        <v>204446</v>
      </c>
      <c r="L207" t="s">
        <v>540</v>
      </c>
      <c r="M207" t="s">
        <v>44</v>
      </c>
    </row>
    <row r="208" spans="1:13" x14ac:dyDescent="0.35">
      <c r="A208" s="1">
        <v>204447</v>
      </c>
      <c r="B208" t="s">
        <v>33</v>
      </c>
      <c r="C208" t="s">
        <v>255</v>
      </c>
      <c r="D208" t="s">
        <v>31</v>
      </c>
      <c r="E208" t="s">
        <v>38</v>
      </c>
      <c r="F208" t="s">
        <v>61</v>
      </c>
      <c r="G208" s="30">
        <v>45635</v>
      </c>
      <c r="I208" s="1" t="str">
        <v>PAUL BRIAN CORNEJO LEON</v>
      </c>
      <c r="K208" s="1">
        <v>204447</v>
      </c>
      <c r="L208" t="s">
        <v>541</v>
      </c>
      <c r="M208" t="s">
        <v>61</v>
      </c>
    </row>
    <row r="209" spans="1:13" x14ac:dyDescent="0.35">
      <c r="A209" s="1">
        <v>204448</v>
      </c>
      <c r="B209" t="s">
        <v>542</v>
      </c>
      <c r="C209" t="s">
        <v>132</v>
      </c>
      <c r="D209" t="s">
        <v>20</v>
      </c>
      <c r="E209" t="s">
        <v>43</v>
      </c>
      <c r="F209" t="s">
        <v>312</v>
      </c>
      <c r="G209" s="30">
        <v>45636</v>
      </c>
      <c r="I209" s="1" t="str">
        <v>PEDRO JAIMES CIENFUEGOS</v>
      </c>
      <c r="K209" s="1">
        <v>204448</v>
      </c>
      <c r="L209" t="s">
        <v>543</v>
      </c>
      <c r="M209" t="s">
        <v>312</v>
      </c>
    </row>
    <row r="210" spans="1:13" x14ac:dyDescent="0.35">
      <c r="A210" s="1">
        <v>204450</v>
      </c>
      <c r="B210" t="s">
        <v>544</v>
      </c>
      <c r="C210" t="s">
        <v>198</v>
      </c>
      <c r="D210" t="s">
        <v>125</v>
      </c>
      <c r="E210" t="s">
        <v>38</v>
      </c>
      <c r="F210" t="s">
        <v>126</v>
      </c>
      <c r="G210" s="30">
        <v>45638</v>
      </c>
      <c r="I210" s="1" t="str">
        <v>PEDRO REYES SERRANO</v>
      </c>
      <c r="K210" s="1">
        <v>204450</v>
      </c>
      <c r="L210" t="s">
        <v>545</v>
      </c>
      <c r="M210" t="s">
        <v>126</v>
      </c>
    </row>
    <row r="211" spans="1:13" x14ac:dyDescent="0.35">
      <c r="A211" s="1">
        <v>204451</v>
      </c>
      <c r="B211" t="s">
        <v>546</v>
      </c>
      <c r="C211" t="s">
        <v>132</v>
      </c>
      <c r="D211" t="s">
        <v>31</v>
      </c>
      <c r="E211" t="s">
        <v>32</v>
      </c>
      <c r="F211" t="s">
        <v>33</v>
      </c>
      <c r="G211" s="30">
        <v>45638</v>
      </c>
      <c r="I211" s="1" t="str">
        <v>RAFAEL ANGEL HERNANDEZ VALENZUELA</v>
      </c>
      <c r="K211" s="1">
        <v>204451</v>
      </c>
      <c r="L211" t="s">
        <v>547</v>
      </c>
      <c r="M211" t="s">
        <v>33</v>
      </c>
    </row>
    <row r="212" spans="1:13" x14ac:dyDescent="0.35">
      <c r="A212" s="1">
        <v>204452</v>
      </c>
      <c r="B212" t="s">
        <v>548</v>
      </c>
      <c r="C212" t="s">
        <v>549</v>
      </c>
      <c r="D212" t="s">
        <v>37</v>
      </c>
      <c r="E212" t="s">
        <v>38</v>
      </c>
      <c r="F212" t="s">
        <v>39</v>
      </c>
      <c r="G212" s="30">
        <v>45638</v>
      </c>
      <c r="I212" s="1" t="str">
        <v>RAFAEL SOLANO VAZQUEZ</v>
      </c>
      <c r="K212" s="1">
        <v>204452</v>
      </c>
      <c r="L212" t="s">
        <v>550</v>
      </c>
      <c r="M212" t="s">
        <v>39</v>
      </c>
    </row>
    <row r="213" spans="1:13" x14ac:dyDescent="0.35">
      <c r="A213" s="1">
        <v>204454</v>
      </c>
      <c r="B213" t="s">
        <v>551</v>
      </c>
      <c r="C213" t="s">
        <v>132</v>
      </c>
      <c r="D213" t="s">
        <v>21</v>
      </c>
      <c r="E213" t="s">
        <v>43</v>
      </c>
      <c r="F213" t="s">
        <v>44</v>
      </c>
      <c r="G213" s="30">
        <v>45642</v>
      </c>
      <c r="I213" s="1" t="str">
        <v>RAMAJATH RAMIREZ REMBAO</v>
      </c>
      <c r="K213" s="1">
        <v>204454</v>
      </c>
      <c r="L213" t="s">
        <v>552</v>
      </c>
      <c r="M213" t="s">
        <v>44</v>
      </c>
    </row>
    <row r="214" spans="1:13" x14ac:dyDescent="0.35">
      <c r="A214" s="1">
        <v>204455</v>
      </c>
      <c r="B214" t="s">
        <v>553</v>
      </c>
      <c r="C214" t="s">
        <v>132</v>
      </c>
      <c r="D214" t="s">
        <v>16</v>
      </c>
      <c r="E214" t="s">
        <v>32</v>
      </c>
      <c r="F214" t="s">
        <v>55</v>
      </c>
      <c r="G214" s="30">
        <v>45645</v>
      </c>
      <c r="I214" s="1" t="str">
        <v>RAMON ARTURO CARRILLO CORRAL</v>
      </c>
      <c r="K214" s="1">
        <v>204455</v>
      </c>
      <c r="L214" t="s">
        <v>554</v>
      </c>
      <c r="M214" t="s">
        <v>55</v>
      </c>
    </row>
    <row r="215" spans="1:13" x14ac:dyDescent="0.35">
      <c r="A215" s="1">
        <v>204456</v>
      </c>
      <c r="B215" t="s">
        <v>555</v>
      </c>
      <c r="C215" t="s">
        <v>132</v>
      </c>
      <c r="D215" t="s">
        <v>16</v>
      </c>
      <c r="E215" t="s">
        <v>32</v>
      </c>
      <c r="F215" t="s">
        <v>48</v>
      </c>
      <c r="G215" s="30">
        <v>45659</v>
      </c>
      <c r="I215" s="1" t="str">
        <v>RAMON PINO RUBIO</v>
      </c>
      <c r="K215" s="1">
        <v>204456</v>
      </c>
      <c r="L215" t="s">
        <v>556</v>
      </c>
      <c r="M215" t="s">
        <v>48</v>
      </c>
    </row>
    <row r="216" spans="1:13" x14ac:dyDescent="0.35">
      <c r="A216" s="1">
        <v>204457</v>
      </c>
      <c r="B216" t="s">
        <v>557</v>
      </c>
      <c r="C216" t="s">
        <v>137</v>
      </c>
      <c r="D216" t="s">
        <v>16</v>
      </c>
      <c r="E216" t="s">
        <v>32</v>
      </c>
      <c r="F216" t="s">
        <v>48</v>
      </c>
      <c r="G216" s="30">
        <v>45659</v>
      </c>
      <c r="I216" s="1" t="str">
        <v>RAMSES SAID GALICIA OSORIO</v>
      </c>
      <c r="K216" s="1">
        <v>204457</v>
      </c>
      <c r="L216" t="s">
        <v>558</v>
      </c>
      <c r="M216" t="s">
        <v>48</v>
      </c>
    </row>
    <row r="217" spans="1:13" x14ac:dyDescent="0.35">
      <c r="A217" s="1">
        <v>204458</v>
      </c>
      <c r="B217" t="s">
        <v>559</v>
      </c>
      <c r="C217" t="s">
        <v>132</v>
      </c>
      <c r="D217" t="s">
        <v>17</v>
      </c>
      <c r="E217" t="s">
        <v>32</v>
      </c>
      <c r="F217" t="s">
        <v>71</v>
      </c>
      <c r="G217" s="30">
        <v>45659</v>
      </c>
      <c r="I217" s="1" t="str">
        <v>RAUL AVILA AYALA</v>
      </c>
      <c r="K217" s="1">
        <v>204458</v>
      </c>
      <c r="L217" t="s">
        <v>560</v>
      </c>
      <c r="M217" t="s">
        <v>71</v>
      </c>
    </row>
    <row r="218" spans="1:13" x14ac:dyDescent="0.35">
      <c r="A218" s="1">
        <v>204459</v>
      </c>
      <c r="B218" t="s">
        <v>561</v>
      </c>
      <c r="C218" t="s">
        <v>132</v>
      </c>
      <c r="D218" t="s">
        <v>161</v>
      </c>
      <c r="E218" t="s">
        <v>38</v>
      </c>
      <c r="F218" t="s">
        <v>162</v>
      </c>
      <c r="G218" s="30">
        <v>45660</v>
      </c>
      <c r="I218" s="1" t="str">
        <v>RAUL DE JESUS RUIZ CARRASQUEDO</v>
      </c>
      <c r="K218" s="1">
        <v>204459</v>
      </c>
      <c r="L218" t="s">
        <v>562</v>
      </c>
      <c r="M218" t="s">
        <v>162</v>
      </c>
    </row>
    <row r="219" spans="1:13" x14ac:dyDescent="0.35">
      <c r="A219" s="1">
        <v>204461</v>
      </c>
      <c r="B219" t="s">
        <v>563</v>
      </c>
      <c r="C219" t="s">
        <v>325</v>
      </c>
      <c r="D219" t="s">
        <v>54</v>
      </c>
      <c r="E219" t="s">
        <v>32</v>
      </c>
      <c r="F219" t="s">
        <v>92</v>
      </c>
      <c r="G219" s="30">
        <v>45666</v>
      </c>
      <c r="I219" s="1" t="str">
        <v>RENE DE JESUS PEREZ GARCIA</v>
      </c>
      <c r="K219" s="1">
        <v>204461</v>
      </c>
      <c r="L219" t="s">
        <v>564</v>
      </c>
      <c r="M219" t="s">
        <v>92</v>
      </c>
    </row>
    <row r="220" spans="1:13" x14ac:dyDescent="0.35">
      <c r="A220" s="1">
        <v>204462</v>
      </c>
      <c r="B220" t="s">
        <v>565</v>
      </c>
      <c r="C220" t="s">
        <v>325</v>
      </c>
      <c r="D220" t="s">
        <v>54</v>
      </c>
      <c r="E220" t="s">
        <v>32</v>
      </c>
      <c r="F220" t="s">
        <v>157</v>
      </c>
      <c r="G220" s="30">
        <v>45666</v>
      </c>
      <c r="I220" s="1" t="str">
        <v>RICARDO ESTEBAN CURIEL MUZQUIZ</v>
      </c>
      <c r="K220" s="1">
        <v>204462</v>
      </c>
      <c r="L220" t="s">
        <v>566</v>
      </c>
      <c r="M220" t="s">
        <v>157</v>
      </c>
    </row>
    <row r="221" spans="1:13" x14ac:dyDescent="0.35">
      <c r="A221" s="1">
        <v>204463</v>
      </c>
      <c r="B221" t="s">
        <v>567</v>
      </c>
      <c r="C221" t="s">
        <v>325</v>
      </c>
      <c r="D221" t="s">
        <v>54</v>
      </c>
      <c r="E221" t="s">
        <v>32</v>
      </c>
      <c r="F221" t="s">
        <v>157</v>
      </c>
      <c r="G221" s="30">
        <v>45666</v>
      </c>
      <c r="I221" s="1" t="str">
        <v>RICARDO NAVARRO CASTAÑEDA</v>
      </c>
      <c r="K221" s="1">
        <v>204463</v>
      </c>
      <c r="L221" t="s">
        <v>568</v>
      </c>
      <c r="M221" t="s">
        <v>157</v>
      </c>
    </row>
    <row r="222" spans="1:13" x14ac:dyDescent="0.35">
      <c r="A222" s="1">
        <v>204464</v>
      </c>
      <c r="B222" t="s">
        <v>569</v>
      </c>
      <c r="C222" t="s">
        <v>325</v>
      </c>
      <c r="D222" t="s">
        <v>54</v>
      </c>
      <c r="E222" t="s">
        <v>32</v>
      </c>
      <c r="F222" t="s">
        <v>92</v>
      </c>
      <c r="G222" s="30">
        <v>45666</v>
      </c>
      <c r="I222" s="1" t="str">
        <v>RICARDO SANTOYO LOPEZ</v>
      </c>
      <c r="K222" s="1">
        <v>204464</v>
      </c>
      <c r="L222" t="s">
        <v>570</v>
      </c>
      <c r="M222" t="s">
        <v>92</v>
      </c>
    </row>
    <row r="223" spans="1:13" x14ac:dyDescent="0.35">
      <c r="A223" s="1">
        <v>204465</v>
      </c>
      <c r="B223" t="s">
        <v>571</v>
      </c>
      <c r="C223" t="s">
        <v>325</v>
      </c>
      <c r="D223" t="s">
        <v>54</v>
      </c>
      <c r="E223" t="s">
        <v>32</v>
      </c>
      <c r="F223" t="s">
        <v>152</v>
      </c>
      <c r="G223" s="30">
        <v>45666</v>
      </c>
      <c r="I223" s="1" t="str">
        <v>ROBERTO VEGA LOPEZ</v>
      </c>
      <c r="K223" s="1">
        <v>204465</v>
      </c>
      <c r="L223" t="s">
        <v>572</v>
      </c>
      <c r="M223" t="s">
        <v>152</v>
      </c>
    </row>
    <row r="224" spans="1:13" x14ac:dyDescent="0.35">
      <c r="A224" s="1">
        <v>204467</v>
      </c>
      <c r="B224" t="s">
        <v>573</v>
      </c>
      <c r="C224" t="s">
        <v>341</v>
      </c>
      <c r="D224" t="s">
        <v>16</v>
      </c>
      <c r="E224" t="s">
        <v>32</v>
      </c>
      <c r="F224" t="s">
        <v>92</v>
      </c>
      <c r="G224" s="30">
        <v>45667</v>
      </c>
      <c r="I224" s="1" t="str">
        <v>RODRIGO ALEXIS CABRALES LEYVA</v>
      </c>
      <c r="K224" s="1">
        <v>204467</v>
      </c>
      <c r="L224" t="s">
        <v>574</v>
      </c>
      <c r="M224" t="s">
        <v>92</v>
      </c>
    </row>
    <row r="225" spans="1:13" x14ac:dyDescent="0.35">
      <c r="A225" s="1">
        <v>204468</v>
      </c>
      <c r="B225" t="s">
        <v>575</v>
      </c>
      <c r="C225" t="s">
        <v>132</v>
      </c>
      <c r="D225" t="s">
        <v>16</v>
      </c>
      <c r="E225" t="s">
        <v>32</v>
      </c>
      <c r="F225" t="s">
        <v>92</v>
      </c>
      <c r="G225" s="30">
        <v>45667</v>
      </c>
      <c r="I225" s="1" t="str">
        <v>ROGELIO ISAAC MARTINEZ AVILEZ</v>
      </c>
      <c r="K225" s="1">
        <v>204468</v>
      </c>
      <c r="L225" t="s">
        <v>576</v>
      </c>
      <c r="M225" t="s">
        <v>92</v>
      </c>
    </row>
    <row r="226" spans="1:13" x14ac:dyDescent="0.35">
      <c r="A226" s="1">
        <v>204469</v>
      </c>
      <c r="B226" t="s">
        <v>577</v>
      </c>
      <c r="C226" t="s">
        <v>132</v>
      </c>
      <c r="D226" t="s">
        <v>16</v>
      </c>
      <c r="E226" t="s">
        <v>32</v>
      </c>
      <c r="F226" t="s">
        <v>92</v>
      </c>
      <c r="G226" s="30">
        <v>45667</v>
      </c>
      <c r="I226" s="1" t="str">
        <v>ROGER ALFREDO AGUILAR ROMERO</v>
      </c>
      <c r="K226" s="1">
        <v>204469</v>
      </c>
      <c r="L226" t="s">
        <v>578</v>
      </c>
      <c r="M226" t="s">
        <v>92</v>
      </c>
    </row>
    <row r="227" spans="1:13" x14ac:dyDescent="0.35">
      <c r="A227" s="1">
        <v>204471</v>
      </c>
      <c r="B227" t="s">
        <v>579</v>
      </c>
      <c r="C227" t="s">
        <v>325</v>
      </c>
      <c r="D227" t="s">
        <v>54</v>
      </c>
      <c r="E227" t="s">
        <v>32</v>
      </c>
      <c r="F227" t="s">
        <v>48</v>
      </c>
      <c r="G227" s="30">
        <v>45668</v>
      </c>
      <c r="I227" s="1" t="str">
        <v>ROMEO LOPEZ MORALES</v>
      </c>
      <c r="K227" s="1">
        <v>204471</v>
      </c>
      <c r="L227" t="s">
        <v>580</v>
      </c>
      <c r="M227" t="s">
        <v>48</v>
      </c>
    </row>
    <row r="228" spans="1:13" x14ac:dyDescent="0.35">
      <c r="A228" s="1">
        <v>204473</v>
      </c>
      <c r="B228" t="s">
        <v>581</v>
      </c>
      <c r="C228" t="s">
        <v>132</v>
      </c>
      <c r="D228" t="s">
        <v>54</v>
      </c>
      <c r="E228" t="s">
        <v>32</v>
      </c>
      <c r="F228" t="s">
        <v>48</v>
      </c>
      <c r="G228" s="30">
        <v>45670</v>
      </c>
      <c r="I228" s="1" t="str">
        <v>ROMUALDO RAMON CAMACHO VASQUEZ</v>
      </c>
      <c r="K228" s="1">
        <v>204473</v>
      </c>
      <c r="L228" t="s">
        <v>582</v>
      </c>
      <c r="M228" t="s">
        <v>48</v>
      </c>
    </row>
    <row r="229" spans="1:13" x14ac:dyDescent="0.35">
      <c r="A229" s="1">
        <v>204478</v>
      </c>
      <c r="B229" t="s">
        <v>71</v>
      </c>
      <c r="C229" t="s">
        <v>583</v>
      </c>
      <c r="D229" t="s">
        <v>17</v>
      </c>
      <c r="E229" t="s">
        <v>38</v>
      </c>
      <c r="F229" t="s">
        <v>113</v>
      </c>
      <c r="G229" s="30">
        <v>45685</v>
      </c>
      <c r="I229" s="1" t="str">
        <v>SAUL ULISES DOMINGUEZ RIVERA</v>
      </c>
      <c r="K229" s="1">
        <v>204478</v>
      </c>
      <c r="L229" t="s">
        <v>584</v>
      </c>
      <c r="M229" t="s">
        <v>113</v>
      </c>
    </row>
    <row r="230" spans="1:13" x14ac:dyDescent="0.35">
      <c r="A230" s="1">
        <v>204481</v>
      </c>
      <c r="B230" t="s">
        <v>585</v>
      </c>
      <c r="C230" t="s">
        <v>132</v>
      </c>
      <c r="D230" t="s">
        <v>31</v>
      </c>
      <c r="E230" t="s">
        <v>32</v>
      </c>
      <c r="F230" t="s">
        <v>33</v>
      </c>
      <c r="G230" s="30">
        <v>45687</v>
      </c>
      <c r="I230" s="1" t="str">
        <v>SERGIO ARTURO YORBA ZEPEDA</v>
      </c>
      <c r="K230" s="1">
        <v>204481</v>
      </c>
      <c r="L230" t="s">
        <v>586</v>
      </c>
      <c r="M230" t="s">
        <v>33</v>
      </c>
    </row>
    <row r="231" spans="1:13" x14ac:dyDescent="0.35">
      <c r="A231" s="1">
        <v>204482</v>
      </c>
      <c r="B231" t="s">
        <v>587</v>
      </c>
      <c r="C231" t="s">
        <v>132</v>
      </c>
      <c r="D231" t="s">
        <v>31</v>
      </c>
      <c r="E231" t="s">
        <v>32</v>
      </c>
      <c r="F231" t="s">
        <v>33</v>
      </c>
      <c r="G231" s="30">
        <v>45687</v>
      </c>
      <c r="I231" s="1" t="str">
        <v>SERGIO JOSE DE J GARNICA RODRIGUEZ</v>
      </c>
      <c r="K231" s="1">
        <v>204482</v>
      </c>
      <c r="L231" t="s">
        <v>588</v>
      </c>
      <c r="M231" t="s">
        <v>33</v>
      </c>
    </row>
    <row r="232" spans="1:13" x14ac:dyDescent="0.35">
      <c r="A232" s="1">
        <v>204483</v>
      </c>
      <c r="B232" t="s">
        <v>589</v>
      </c>
      <c r="C232" t="s">
        <v>132</v>
      </c>
      <c r="D232" t="s">
        <v>31</v>
      </c>
      <c r="E232" t="s">
        <v>32</v>
      </c>
      <c r="F232" t="s">
        <v>33</v>
      </c>
      <c r="G232" s="30">
        <v>45687</v>
      </c>
      <c r="I232" s="1" t="str">
        <v>SERGIO NARANJO RUIZ</v>
      </c>
      <c r="K232" s="1">
        <v>204483</v>
      </c>
      <c r="L232" t="s">
        <v>590</v>
      </c>
      <c r="M232" t="s">
        <v>33</v>
      </c>
    </row>
    <row r="233" spans="1:13" x14ac:dyDescent="0.35">
      <c r="A233" s="1">
        <v>204484</v>
      </c>
      <c r="B233" t="s">
        <v>591</v>
      </c>
      <c r="C233" t="s">
        <v>132</v>
      </c>
      <c r="D233" t="s">
        <v>31</v>
      </c>
      <c r="E233" t="s">
        <v>32</v>
      </c>
      <c r="F233" t="s">
        <v>33</v>
      </c>
      <c r="G233" s="30">
        <v>45687</v>
      </c>
      <c r="I233" s="1" t="str">
        <v>SERGIO OCHOA SANCHEZ</v>
      </c>
      <c r="K233" s="1">
        <v>204484</v>
      </c>
      <c r="L233" t="s">
        <v>592</v>
      </c>
      <c r="M233" t="s">
        <v>33</v>
      </c>
    </row>
    <row r="234" spans="1:13" x14ac:dyDescent="0.35">
      <c r="A234" s="1">
        <v>204486</v>
      </c>
      <c r="B234" t="s">
        <v>593</v>
      </c>
      <c r="C234" t="s">
        <v>132</v>
      </c>
      <c r="D234" t="s">
        <v>31</v>
      </c>
      <c r="E234" t="s">
        <v>32</v>
      </c>
      <c r="F234" t="s">
        <v>33</v>
      </c>
      <c r="G234" s="30">
        <v>45687</v>
      </c>
      <c r="I234" s="1" t="str">
        <v>SLOBODAN SAMUEL ORTEGA DE LA TORRE</v>
      </c>
      <c r="K234" s="1">
        <v>204486</v>
      </c>
      <c r="L234" t="s">
        <v>594</v>
      </c>
      <c r="M234" t="s">
        <v>33</v>
      </c>
    </row>
    <row r="235" spans="1:13" x14ac:dyDescent="0.35">
      <c r="A235" s="1">
        <v>204488</v>
      </c>
      <c r="B235" t="s">
        <v>595</v>
      </c>
      <c r="C235" t="s">
        <v>132</v>
      </c>
      <c r="D235" t="s">
        <v>31</v>
      </c>
      <c r="E235" t="s">
        <v>32</v>
      </c>
      <c r="F235" t="s">
        <v>33</v>
      </c>
      <c r="G235" s="30">
        <v>45688</v>
      </c>
      <c r="I235" s="1" t="str">
        <v>SOROVABEL RUIZ LOPEZ</v>
      </c>
      <c r="K235" s="1">
        <v>204488</v>
      </c>
      <c r="L235" t="s">
        <v>596</v>
      </c>
      <c r="M235" t="s">
        <v>33</v>
      </c>
    </row>
    <row r="236" spans="1:13" x14ac:dyDescent="0.35">
      <c r="A236" s="1">
        <v>204490</v>
      </c>
      <c r="B236" t="s">
        <v>597</v>
      </c>
      <c r="C236" t="s">
        <v>132</v>
      </c>
      <c r="D236" t="s">
        <v>31</v>
      </c>
      <c r="E236" t="s">
        <v>32</v>
      </c>
      <c r="F236" t="s">
        <v>33</v>
      </c>
      <c r="G236" s="30">
        <v>45695</v>
      </c>
      <c r="I236" s="1" t="str">
        <v>TOMAS ZEPEDA NAVA</v>
      </c>
      <c r="K236" s="1">
        <v>204490</v>
      </c>
      <c r="L236" t="s">
        <v>598</v>
      </c>
      <c r="M236" t="s">
        <v>33</v>
      </c>
    </row>
    <row r="237" spans="1:13" x14ac:dyDescent="0.35">
      <c r="A237" s="1">
        <v>204492</v>
      </c>
      <c r="B237" t="s">
        <v>599</v>
      </c>
      <c r="C237" t="s">
        <v>132</v>
      </c>
      <c r="D237" t="s">
        <v>31</v>
      </c>
      <c r="E237" t="s">
        <v>32</v>
      </c>
      <c r="F237" t="s">
        <v>33</v>
      </c>
      <c r="G237" s="30">
        <v>45695</v>
      </c>
      <c r="I237" s="1" t="str">
        <v>URIEL CHAVEZ PALOMAREZ</v>
      </c>
      <c r="K237" s="1">
        <v>204492</v>
      </c>
      <c r="L237" t="s">
        <v>600</v>
      </c>
      <c r="M237" t="s">
        <v>33</v>
      </c>
    </row>
    <row r="238" spans="1:13" x14ac:dyDescent="0.35">
      <c r="A238" s="1">
        <v>204495</v>
      </c>
      <c r="B238" t="s">
        <v>601</v>
      </c>
      <c r="C238" t="s">
        <v>602</v>
      </c>
      <c r="D238" t="s">
        <v>161</v>
      </c>
      <c r="E238" t="s">
        <v>38</v>
      </c>
      <c r="F238" t="s">
        <v>603</v>
      </c>
      <c r="G238" s="30">
        <v>45699</v>
      </c>
      <c r="I238" s="1" t="str">
        <v>URVANO HUGO CARDONA BLANCO</v>
      </c>
      <c r="K238" s="1">
        <v>204495</v>
      </c>
      <c r="L238" t="s">
        <v>604</v>
      </c>
      <c r="M238" t="s">
        <v>603</v>
      </c>
    </row>
    <row r="239" spans="1:13" x14ac:dyDescent="0.35">
      <c r="A239" s="1">
        <v>204498</v>
      </c>
      <c r="B239" t="s">
        <v>605</v>
      </c>
      <c r="C239" t="s">
        <v>132</v>
      </c>
      <c r="D239" t="s">
        <v>31</v>
      </c>
      <c r="E239" t="s">
        <v>32</v>
      </c>
      <c r="F239" t="s">
        <v>33</v>
      </c>
      <c r="G239" s="30">
        <v>45705</v>
      </c>
      <c r="I239" s="1" t="str">
        <v>VALENTIN LIZARRAGA PEREZ</v>
      </c>
      <c r="K239" s="1">
        <v>204498</v>
      </c>
      <c r="L239" t="s">
        <v>606</v>
      </c>
      <c r="M239" t="s">
        <v>33</v>
      </c>
    </row>
    <row r="240" spans="1:13" x14ac:dyDescent="0.35">
      <c r="A240" s="1">
        <v>204499</v>
      </c>
      <c r="B240" t="s">
        <v>607</v>
      </c>
      <c r="C240" t="s">
        <v>132</v>
      </c>
      <c r="D240" t="s">
        <v>31</v>
      </c>
      <c r="E240" t="s">
        <v>32</v>
      </c>
      <c r="F240" t="s">
        <v>33</v>
      </c>
      <c r="G240" s="30">
        <v>45705</v>
      </c>
      <c r="I240" s="1" t="str">
        <v>VICENTE TIZNADO COTA</v>
      </c>
      <c r="K240" s="1">
        <v>204499</v>
      </c>
      <c r="L240" t="s">
        <v>608</v>
      </c>
      <c r="M240" t="s">
        <v>33</v>
      </c>
    </row>
    <row r="241" spans="1:13" x14ac:dyDescent="0.35">
      <c r="A241" s="1">
        <v>204500</v>
      </c>
      <c r="B241" t="s">
        <v>609</v>
      </c>
      <c r="C241" t="s">
        <v>132</v>
      </c>
      <c r="D241" t="s">
        <v>31</v>
      </c>
      <c r="E241" t="s">
        <v>32</v>
      </c>
      <c r="F241" t="s">
        <v>33</v>
      </c>
      <c r="G241" s="30">
        <v>45705</v>
      </c>
      <c r="I241" s="1" t="str">
        <v>VICTOR ALEJANDRO RIVERA AGRAMON</v>
      </c>
      <c r="K241" s="1">
        <v>204500</v>
      </c>
      <c r="L241" t="s">
        <v>610</v>
      </c>
      <c r="M241" t="s">
        <v>33</v>
      </c>
    </row>
    <row r="242" spans="1:13" x14ac:dyDescent="0.35">
      <c r="A242" s="1">
        <v>204502</v>
      </c>
      <c r="B242" t="s">
        <v>611</v>
      </c>
      <c r="C242" t="s">
        <v>132</v>
      </c>
      <c r="D242" t="s">
        <v>31</v>
      </c>
      <c r="E242" t="s">
        <v>32</v>
      </c>
      <c r="F242" t="s">
        <v>33</v>
      </c>
      <c r="G242" s="30">
        <v>45706</v>
      </c>
      <c r="I242" s="1" t="str">
        <v>VICTOR MANUEL AGUILAR RODRIGUEZ</v>
      </c>
      <c r="K242" s="1">
        <v>204502</v>
      </c>
      <c r="L242" t="s">
        <v>612</v>
      </c>
      <c r="M242" t="s">
        <v>33</v>
      </c>
    </row>
    <row r="243" spans="1:13" x14ac:dyDescent="0.35">
      <c r="A243" s="1">
        <v>204503</v>
      </c>
      <c r="B243" t="s">
        <v>613</v>
      </c>
      <c r="C243" t="s">
        <v>132</v>
      </c>
      <c r="D243" t="s">
        <v>31</v>
      </c>
      <c r="E243" t="s">
        <v>32</v>
      </c>
      <c r="F243" t="s">
        <v>33</v>
      </c>
      <c r="G243" s="30">
        <v>45712</v>
      </c>
      <c r="I243" s="1" t="str">
        <v>VICTOR MANUEL ORTEGA VELAZQUEZ</v>
      </c>
      <c r="K243" s="1">
        <v>204503</v>
      </c>
      <c r="L243" t="s">
        <v>614</v>
      </c>
      <c r="M243" t="s">
        <v>33</v>
      </c>
    </row>
    <row r="244" spans="1:13" x14ac:dyDescent="0.35">
      <c r="A244" s="1">
        <v>204504</v>
      </c>
      <c r="B244" t="s">
        <v>615</v>
      </c>
      <c r="C244" t="s">
        <v>177</v>
      </c>
      <c r="D244" t="s">
        <v>21</v>
      </c>
      <c r="E244" t="s">
        <v>43</v>
      </c>
      <c r="F244" t="s">
        <v>44</v>
      </c>
      <c r="G244" s="30">
        <v>45712</v>
      </c>
      <c r="I244" s="1" t="str">
        <v>VICTOR MANUEL VALADEZ ROMERO</v>
      </c>
      <c r="K244" s="1">
        <v>204504</v>
      </c>
      <c r="L244" t="s">
        <v>616</v>
      </c>
      <c r="M244" t="s">
        <v>44</v>
      </c>
    </row>
    <row r="245" spans="1:13" x14ac:dyDescent="0.35">
      <c r="A245" s="1">
        <v>204505</v>
      </c>
      <c r="B245" t="s">
        <v>617</v>
      </c>
      <c r="C245" t="s">
        <v>132</v>
      </c>
      <c r="D245" t="s">
        <v>37</v>
      </c>
      <c r="E245" t="s">
        <v>38</v>
      </c>
      <c r="F245" t="s">
        <v>39</v>
      </c>
      <c r="G245" s="30">
        <v>45713</v>
      </c>
      <c r="I245" s="1" t="str">
        <v>VICTOR SAMUEL MARTINEZ CHAVARRIA</v>
      </c>
      <c r="K245" s="1">
        <v>204505</v>
      </c>
      <c r="L245" t="s">
        <v>618</v>
      </c>
      <c r="M245" t="s">
        <v>39</v>
      </c>
    </row>
    <row r="246" spans="1:13" x14ac:dyDescent="0.35">
      <c r="A246" s="1">
        <v>204506</v>
      </c>
      <c r="B246" t="s">
        <v>619</v>
      </c>
      <c r="C246" t="s">
        <v>132</v>
      </c>
      <c r="D246" t="s">
        <v>31</v>
      </c>
      <c r="E246" t="s">
        <v>32</v>
      </c>
      <c r="F246" t="s">
        <v>33</v>
      </c>
      <c r="G246" s="30">
        <v>45713</v>
      </c>
      <c r="I246" s="1" t="str">
        <v>VICTORIANO CARRASCO MARTINEZ</v>
      </c>
      <c r="K246" s="1">
        <v>204506</v>
      </c>
      <c r="L246" t="s">
        <v>620</v>
      </c>
      <c r="M246" t="s">
        <v>33</v>
      </c>
    </row>
    <row r="247" spans="1:13" x14ac:dyDescent="0.35">
      <c r="A247" s="1">
        <v>204507</v>
      </c>
      <c r="B247" t="s">
        <v>621</v>
      </c>
      <c r="C247" t="s">
        <v>235</v>
      </c>
      <c r="D247" t="s">
        <v>236</v>
      </c>
      <c r="E247" t="s">
        <v>38</v>
      </c>
      <c r="F247" t="s">
        <v>622</v>
      </c>
      <c r="G247" s="30">
        <v>45708</v>
      </c>
      <c r="I247" s="1" t="str">
        <v>YUDITH SAYURI MARTINEZ JINES</v>
      </c>
      <c r="K247" s="1">
        <v>204507</v>
      </c>
      <c r="L247" t="s">
        <v>623</v>
      </c>
      <c r="M247" t="s">
        <v>622</v>
      </c>
    </row>
  </sheetData>
  <conditionalFormatting sqref="A4:G247 K4:K247">
    <cfRule type="expression" dxfId="1" priority="2">
      <formula>#REF!="."</formula>
    </cfRule>
  </conditionalFormatting>
  <conditionalFormatting sqref="M4:M247">
    <cfRule type="expression" dxfId="0" priority="1">
      <formula>#REF!="."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7C82-CCE0-4C78-A3E3-508EC715E81A}">
  <dimension ref="A1:H63"/>
  <sheetViews>
    <sheetView view="pageBreakPreview" zoomScale="85" zoomScaleNormal="85" zoomScaleSheetLayoutView="85" workbookViewId="0">
      <selection activeCell="B14" sqref="B14:E14"/>
    </sheetView>
  </sheetViews>
  <sheetFormatPr defaultColWidth="10.90625" defaultRowHeight="14.5" x14ac:dyDescent="0.35"/>
  <cols>
    <col min="1" max="1" width="21" customWidth="1"/>
    <col min="2" max="2" width="11.453125" customWidth="1"/>
    <col min="3" max="3" width="16.7265625" customWidth="1"/>
    <col min="4" max="4" width="17.81640625" customWidth="1"/>
    <col min="5" max="5" width="22.7265625" customWidth="1"/>
    <col min="6" max="6" width="6.81640625" customWidth="1"/>
    <col min="7" max="8" width="11.81640625" customWidth="1"/>
  </cols>
  <sheetData>
    <row r="1" spans="1:8" ht="10.5" customHeight="1" x14ac:dyDescent="0.35">
      <c r="C1" s="199" t="s">
        <v>6</v>
      </c>
      <c r="D1" s="199"/>
      <c r="E1" s="199"/>
      <c r="F1" s="199"/>
      <c r="G1" s="199"/>
      <c r="H1" s="199"/>
    </row>
    <row r="2" spans="1:8" ht="11.25" customHeight="1" x14ac:dyDescent="0.35">
      <c r="C2" s="199"/>
      <c r="D2" s="199"/>
      <c r="E2" s="199"/>
      <c r="F2" s="199"/>
      <c r="G2" s="199"/>
      <c r="H2" s="199"/>
    </row>
    <row r="3" spans="1:8" x14ac:dyDescent="0.35">
      <c r="C3" s="199"/>
      <c r="D3" s="199"/>
      <c r="E3" s="199"/>
      <c r="F3" s="199"/>
      <c r="G3" s="199"/>
      <c r="H3" s="199"/>
    </row>
    <row r="4" spans="1:8" ht="6" customHeight="1" x14ac:dyDescent="0.35"/>
    <row r="5" spans="1:8" s="1" customFormat="1" ht="28.5" customHeight="1" x14ac:dyDescent="0.35">
      <c r="C5" s="13" t="s">
        <v>9</v>
      </c>
      <c r="D5" s="3"/>
      <c r="E5" s="13" t="s">
        <v>10</v>
      </c>
      <c r="F5" s="16"/>
      <c r="G5" s="200">
        <v>1</v>
      </c>
      <c r="H5" s="201"/>
    </row>
    <row r="6" spans="1:8" ht="7.5" customHeight="1" x14ac:dyDescent="0.35"/>
    <row r="7" spans="1:8" x14ac:dyDescent="0.35">
      <c r="A7" s="194" t="s">
        <v>1</v>
      </c>
      <c r="B7" s="195"/>
      <c r="C7" s="195"/>
      <c r="D7" s="4"/>
      <c r="E7" s="4"/>
      <c r="F7" s="4"/>
      <c r="G7" s="4"/>
      <c r="H7" s="5"/>
    </row>
    <row r="8" spans="1:8" x14ac:dyDescent="0.35">
      <c r="A8" s="194" t="s">
        <v>3</v>
      </c>
      <c r="B8" s="195"/>
      <c r="C8" s="195"/>
      <c r="D8" s="4"/>
      <c r="E8" s="194" t="s">
        <v>14</v>
      </c>
      <c r="F8" s="195"/>
      <c r="G8" s="195"/>
      <c r="H8" s="196"/>
    </row>
    <row r="9" spans="1:8" x14ac:dyDescent="0.35">
      <c r="A9" s="194" t="s">
        <v>2</v>
      </c>
      <c r="B9" s="195"/>
      <c r="C9" s="195"/>
      <c r="D9" s="4"/>
      <c r="E9" s="194" t="s">
        <v>13</v>
      </c>
      <c r="F9" s="195"/>
      <c r="G9" s="195"/>
      <c r="H9" s="196"/>
    </row>
    <row r="10" spans="1:8" x14ac:dyDescent="0.35">
      <c r="A10" s="194" t="s">
        <v>12</v>
      </c>
      <c r="B10" s="195"/>
      <c r="C10" s="195"/>
      <c r="D10" s="4"/>
      <c r="E10" s="194" t="s">
        <v>15</v>
      </c>
      <c r="F10" s="195"/>
      <c r="G10" s="195"/>
      <c r="H10" s="196"/>
    </row>
    <row r="11" spans="1:8" x14ac:dyDescent="0.35">
      <c r="A11" s="194" t="s">
        <v>0</v>
      </c>
      <c r="B11" s="195"/>
      <c r="C11" s="195"/>
      <c r="D11" s="4"/>
      <c r="E11" s="194"/>
      <c r="F11" s="195"/>
      <c r="G11" s="195"/>
      <c r="H11" s="196"/>
    </row>
    <row r="12" spans="1:8" ht="5.25" customHeight="1" thickBot="1" x14ac:dyDescent="0.4"/>
    <row r="13" spans="1:8" ht="27" thickTop="1" thickBot="1" x14ac:dyDescent="0.4">
      <c r="A13" s="20" t="s">
        <v>4</v>
      </c>
      <c r="B13" s="197" t="s">
        <v>5</v>
      </c>
      <c r="C13" s="197"/>
      <c r="D13" s="197"/>
      <c r="E13" s="197"/>
      <c r="F13" s="20" t="s">
        <v>11</v>
      </c>
      <c r="G13" s="12" t="s">
        <v>8</v>
      </c>
      <c r="H13" s="12" t="s">
        <v>7</v>
      </c>
    </row>
    <row r="14" spans="1:8" ht="15" thickTop="1" x14ac:dyDescent="0.35">
      <c r="A14" s="22"/>
      <c r="B14" s="198"/>
      <c r="C14" s="198"/>
      <c r="D14" s="198"/>
      <c r="E14" s="198"/>
      <c r="F14" s="21"/>
      <c r="G14" s="21"/>
      <c r="H14" s="8"/>
    </row>
    <row r="15" spans="1:8" x14ac:dyDescent="0.35">
      <c r="A15" s="23"/>
      <c r="B15" s="192"/>
      <c r="C15" s="192"/>
      <c r="D15" s="192"/>
      <c r="E15" s="192"/>
      <c r="F15" s="18"/>
      <c r="G15" s="6"/>
      <c r="H15" s="6"/>
    </row>
    <row r="16" spans="1:8" x14ac:dyDescent="0.35">
      <c r="A16" s="23"/>
      <c r="B16" s="192"/>
      <c r="C16" s="192"/>
      <c r="D16" s="192"/>
      <c r="E16" s="192"/>
      <c r="F16" s="18"/>
      <c r="G16" s="6"/>
      <c r="H16" s="6"/>
    </row>
    <row r="17" spans="1:8" x14ac:dyDescent="0.35">
      <c r="A17" s="23"/>
      <c r="B17" s="192"/>
      <c r="C17" s="192"/>
      <c r="D17" s="192"/>
      <c r="E17" s="192"/>
      <c r="F17" s="18"/>
      <c r="G17" s="6"/>
      <c r="H17" s="6"/>
    </row>
    <row r="18" spans="1:8" x14ac:dyDescent="0.35">
      <c r="A18" s="23"/>
      <c r="B18" s="192"/>
      <c r="C18" s="192"/>
      <c r="D18" s="192"/>
      <c r="E18" s="192"/>
      <c r="F18" s="18"/>
      <c r="G18" s="6"/>
      <c r="H18" s="6"/>
    </row>
    <row r="19" spans="1:8" x14ac:dyDescent="0.35">
      <c r="A19" s="23"/>
      <c r="B19" s="192"/>
      <c r="C19" s="192"/>
      <c r="D19" s="192"/>
      <c r="E19" s="192"/>
      <c r="F19" s="18"/>
      <c r="G19" s="6"/>
      <c r="H19" s="6"/>
    </row>
    <row r="20" spans="1:8" x14ac:dyDescent="0.35">
      <c r="A20" s="23"/>
      <c r="B20" s="192"/>
      <c r="C20" s="192"/>
      <c r="D20" s="192"/>
      <c r="E20" s="192"/>
      <c r="F20" s="18"/>
      <c r="G20" s="6"/>
      <c r="H20" s="6"/>
    </row>
    <row r="21" spans="1:8" x14ac:dyDescent="0.35">
      <c r="A21" s="23"/>
      <c r="B21" s="192"/>
      <c r="C21" s="192"/>
      <c r="D21" s="192"/>
      <c r="E21" s="192"/>
      <c r="F21" s="18"/>
      <c r="G21" s="6"/>
      <c r="H21" s="6"/>
    </row>
    <row r="22" spans="1:8" x14ac:dyDescent="0.35">
      <c r="A22" s="23"/>
      <c r="B22" s="192"/>
      <c r="C22" s="192"/>
      <c r="D22" s="192"/>
      <c r="E22" s="192"/>
      <c r="F22" s="18"/>
      <c r="G22" s="6"/>
      <c r="H22" s="6"/>
    </row>
    <row r="23" spans="1:8" x14ac:dyDescent="0.35">
      <c r="A23" s="23"/>
      <c r="B23" s="192"/>
      <c r="C23" s="192"/>
      <c r="D23" s="192"/>
      <c r="E23" s="192"/>
      <c r="F23" s="18"/>
      <c r="G23" s="6"/>
      <c r="H23" s="6"/>
    </row>
    <row r="24" spans="1:8" x14ac:dyDescent="0.35">
      <c r="A24" s="23"/>
      <c r="B24" s="192"/>
      <c r="C24" s="192"/>
      <c r="D24" s="192"/>
      <c r="E24" s="192"/>
      <c r="F24" s="18"/>
      <c r="G24" s="6"/>
      <c r="H24" s="6"/>
    </row>
    <row r="25" spans="1:8" x14ac:dyDescent="0.35">
      <c r="A25" s="23"/>
      <c r="B25" s="192"/>
      <c r="C25" s="192"/>
      <c r="D25" s="192"/>
      <c r="E25" s="192"/>
      <c r="F25" s="18"/>
      <c r="G25" s="6"/>
      <c r="H25" s="6"/>
    </row>
    <row r="26" spans="1:8" x14ac:dyDescent="0.35">
      <c r="A26" s="23"/>
      <c r="B26" s="192"/>
      <c r="C26" s="192"/>
      <c r="D26" s="192"/>
      <c r="E26" s="192"/>
      <c r="F26" s="18"/>
      <c r="G26" s="6"/>
      <c r="H26" s="6"/>
    </row>
    <row r="27" spans="1:8" x14ac:dyDescent="0.35">
      <c r="A27" s="23"/>
      <c r="B27" s="192"/>
      <c r="C27" s="192"/>
      <c r="D27" s="192"/>
      <c r="E27" s="192"/>
      <c r="F27" s="18"/>
      <c r="G27" s="6"/>
      <c r="H27" s="6"/>
    </row>
    <row r="28" spans="1:8" ht="15" thickBot="1" x14ac:dyDescent="0.4">
      <c r="A28" s="24"/>
      <c r="B28" s="193"/>
      <c r="C28" s="193"/>
      <c r="D28" s="193"/>
      <c r="E28" s="193"/>
      <c r="F28" s="19"/>
      <c r="G28" s="10"/>
      <c r="H28" s="10"/>
    </row>
    <row r="29" spans="1:8" ht="18.75" customHeight="1" thickTop="1" thickBot="1" x14ac:dyDescent="0.4">
      <c r="A29" s="188"/>
      <c r="B29" s="189"/>
      <c r="C29" s="189"/>
      <c r="D29" s="189"/>
      <c r="E29" s="189"/>
      <c r="F29" s="189"/>
      <c r="G29" s="189"/>
      <c r="H29" s="190"/>
    </row>
    <row r="30" spans="1:8" ht="20.25" customHeight="1" thickTop="1" x14ac:dyDescent="0.35">
      <c r="A30" s="191"/>
      <c r="B30" s="191"/>
      <c r="C30" s="191"/>
      <c r="D30" s="191"/>
      <c r="E30" s="191"/>
      <c r="F30" s="191"/>
      <c r="G30" s="191"/>
      <c r="H30" s="191"/>
    </row>
    <row r="31" spans="1:8" x14ac:dyDescent="0.35">
      <c r="A31" s="191"/>
      <c r="B31" s="191"/>
      <c r="C31" s="191"/>
      <c r="D31" s="191"/>
      <c r="E31" s="191"/>
      <c r="F31" s="191"/>
      <c r="G31" s="191"/>
      <c r="H31" s="191"/>
    </row>
    <row r="32" spans="1:8" ht="4.5" customHeight="1" x14ac:dyDescent="0.35"/>
    <row r="33" spans="1:8" ht="10.5" customHeight="1" x14ac:dyDescent="0.35">
      <c r="C33" s="199" t="s">
        <v>6</v>
      </c>
      <c r="D33" s="199"/>
      <c r="E33" s="199"/>
      <c r="F33" s="199"/>
      <c r="G33" s="199"/>
      <c r="H33" s="199"/>
    </row>
    <row r="34" spans="1:8" ht="12.75" customHeight="1" x14ac:dyDescent="0.35">
      <c r="C34" s="199"/>
      <c r="D34" s="199"/>
      <c r="E34" s="199"/>
      <c r="F34" s="199"/>
      <c r="G34" s="199"/>
      <c r="H34" s="199"/>
    </row>
    <row r="35" spans="1:8" x14ac:dyDescent="0.35">
      <c r="C35" s="199"/>
      <c r="D35" s="199"/>
      <c r="E35" s="199"/>
      <c r="F35" s="199"/>
      <c r="G35" s="199"/>
      <c r="H35" s="199"/>
    </row>
    <row r="36" spans="1:8" ht="6" customHeight="1" x14ac:dyDescent="0.35"/>
    <row r="37" spans="1:8" s="1" customFormat="1" ht="28.5" customHeight="1" x14ac:dyDescent="0.35">
      <c r="C37" s="13" t="s">
        <v>9</v>
      </c>
      <c r="D37" s="3"/>
      <c r="E37" s="13" t="s">
        <v>10</v>
      </c>
      <c r="F37" s="16"/>
      <c r="G37" s="200">
        <v>2</v>
      </c>
      <c r="H37" s="201"/>
    </row>
    <row r="38" spans="1:8" ht="7.5" customHeight="1" x14ac:dyDescent="0.35"/>
    <row r="39" spans="1:8" x14ac:dyDescent="0.35">
      <c r="A39" s="194" t="s">
        <v>1</v>
      </c>
      <c r="B39" s="195"/>
      <c r="C39" s="195"/>
      <c r="D39" s="4"/>
      <c r="E39" s="4"/>
      <c r="F39" s="4"/>
      <c r="G39" s="4"/>
      <c r="H39" s="5"/>
    </row>
    <row r="40" spans="1:8" x14ac:dyDescent="0.35">
      <c r="A40" s="194" t="s">
        <v>3</v>
      </c>
      <c r="B40" s="195"/>
      <c r="C40" s="195"/>
      <c r="D40" s="4"/>
      <c r="E40" s="194" t="s">
        <v>14</v>
      </c>
      <c r="F40" s="195"/>
      <c r="G40" s="195"/>
      <c r="H40" s="196"/>
    </row>
    <row r="41" spans="1:8" x14ac:dyDescent="0.35">
      <c r="A41" s="194" t="s">
        <v>2</v>
      </c>
      <c r="B41" s="195"/>
      <c r="C41" s="195"/>
      <c r="D41" s="4"/>
      <c r="E41" s="194" t="s">
        <v>13</v>
      </c>
      <c r="F41" s="195"/>
      <c r="G41" s="195"/>
      <c r="H41" s="196"/>
    </row>
    <row r="42" spans="1:8" x14ac:dyDescent="0.35">
      <c r="A42" s="194" t="s">
        <v>12</v>
      </c>
      <c r="B42" s="195"/>
      <c r="C42" s="195"/>
      <c r="D42" s="4"/>
      <c r="E42" s="194" t="s">
        <v>15</v>
      </c>
      <c r="F42" s="195"/>
      <c r="G42" s="195"/>
      <c r="H42" s="196"/>
    </row>
    <row r="43" spans="1:8" x14ac:dyDescent="0.35">
      <c r="A43" s="194" t="s">
        <v>0</v>
      </c>
      <c r="B43" s="195"/>
      <c r="C43" s="195"/>
      <c r="D43" s="4"/>
      <c r="E43" s="194"/>
      <c r="F43" s="195"/>
      <c r="G43" s="195"/>
      <c r="H43" s="196"/>
    </row>
    <row r="44" spans="1:8" ht="5.25" customHeight="1" thickBot="1" x14ac:dyDescent="0.4"/>
    <row r="45" spans="1:8" ht="27" thickTop="1" thickBot="1" x14ac:dyDescent="0.4">
      <c r="A45" s="20" t="s">
        <v>4</v>
      </c>
      <c r="B45" s="197" t="s">
        <v>5</v>
      </c>
      <c r="C45" s="197"/>
      <c r="D45" s="197"/>
      <c r="E45" s="197"/>
      <c r="F45" s="20" t="s">
        <v>11</v>
      </c>
      <c r="G45" s="12" t="s">
        <v>8</v>
      </c>
      <c r="H45" s="12" t="s">
        <v>7</v>
      </c>
    </row>
    <row r="46" spans="1:8" ht="15" thickTop="1" x14ac:dyDescent="0.35">
      <c r="A46" s="22"/>
      <c r="B46" s="198"/>
      <c r="C46" s="198"/>
      <c r="D46" s="198"/>
      <c r="E46" s="198"/>
      <c r="F46" s="21"/>
      <c r="G46" s="21"/>
      <c r="H46" s="8"/>
    </row>
    <row r="47" spans="1:8" x14ac:dyDescent="0.35">
      <c r="A47" s="23"/>
      <c r="B47" s="192"/>
      <c r="C47" s="192"/>
      <c r="D47" s="192"/>
      <c r="E47" s="192"/>
      <c r="F47" s="18"/>
      <c r="G47" s="6"/>
      <c r="H47" s="6"/>
    </row>
    <row r="48" spans="1:8" x14ac:dyDescent="0.35">
      <c r="A48" s="23"/>
      <c r="B48" s="192"/>
      <c r="C48" s="192"/>
      <c r="D48" s="192"/>
      <c r="E48" s="192"/>
      <c r="F48" s="18"/>
      <c r="G48" s="6"/>
      <c r="H48" s="6"/>
    </row>
    <row r="49" spans="1:8" x14ac:dyDescent="0.35">
      <c r="A49" s="23"/>
      <c r="B49" s="192"/>
      <c r="C49" s="192"/>
      <c r="D49" s="192"/>
      <c r="E49" s="192"/>
      <c r="F49" s="18"/>
      <c r="G49" s="6"/>
      <c r="H49" s="6"/>
    </row>
    <row r="50" spans="1:8" x14ac:dyDescent="0.35">
      <c r="A50" s="23"/>
      <c r="B50" s="192"/>
      <c r="C50" s="192"/>
      <c r="D50" s="192"/>
      <c r="E50" s="192"/>
      <c r="F50" s="18"/>
      <c r="G50" s="6"/>
      <c r="H50" s="6"/>
    </row>
    <row r="51" spans="1:8" x14ac:dyDescent="0.35">
      <c r="A51" s="23"/>
      <c r="B51" s="192"/>
      <c r="C51" s="192"/>
      <c r="D51" s="192"/>
      <c r="E51" s="192"/>
      <c r="F51" s="18"/>
      <c r="G51" s="6"/>
      <c r="H51" s="6"/>
    </row>
    <row r="52" spans="1:8" x14ac:dyDescent="0.35">
      <c r="A52" s="23"/>
      <c r="B52" s="192"/>
      <c r="C52" s="192"/>
      <c r="D52" s="192"/>
      <c r="E52" s="192"/>
      <c r="F52" s="18"/>
      <c r="G52" s="6"/>
      <c r="H52" s="6"/>
    </row>
    <row r="53" spans="1:8" x14ac:dyDescent="0.35">
      <c r="A53" s="23"/>
      <c r="B53" s="192"/>
      <c r="C53" s="192"/>
      <c r="D53" s="192"/>
      <c r="E53" s="192"/>
      <c r="F53" s="18"/>
      <c r="G53" s="6"/>
      <c r="H53" s="6"/>
    </row>
    <row r="54" spans="1:8" x14ac:dyDescent="0.35">
      <c r="A54" s="23"/>
      <c r="B54" s="192"/>
      <c r="C54" s="192"/>
      <c r="D54" s="192"/>
      <c r="E54" s="192"/>
      <c r="F54" s="18"/>
      <c r="G54" s="6"/>
      <c r="H54" s="6"/>
    </row>
    <row r="55" spans="1:8" x14ac:dyDescent="0.35">
      <c r="A55" s="23"/>
      <c r="B55" s="192"/>
      <c r="C55" s="192"/>
      <c r="D55" s="192"/>
      <c r="E55" s="192"/>
      <c r="F55" s="18"/>
      <c r="G55" s="6"/>
      <c r="H55" s="6"/>
    </row>
    <row r="56" spans="1:8" x14ac:dyDescent="0.35">
      <c r="A56" s="23"/>
      <c r="B56" s="192"/>
      <c r="C56" s="192"/>
      <c r="D56" s="192"/>
      <c r="E56" s="192"/>
      <c r="F56" s="18"/>
      <c r="G56" s="6"/>
      <c r="H56" s="6"/>
    </row>
    <row r="57" spans="1:8" x14ac:dyDescent="0.35">
      <c r="A57" s="23"/>
      <c r="B57" s="192"/>
      <c r="C57" s="192"/>
      <c r="D57" s="192"/>
      <c r="E57" s="192"/>
      <c r="F57" s="18"/>
      <c r="G57" s="6"/>
      <c r="H57" s="6"/>
    </row>
    <row r="58" spans="1:8" x14ac:dyDescent="0.35">
      <c r="A58" s="23"/>
      <c r="B58" s="192"/>
      <c r="C58" s="192"/>
      <c r="D58" s="192"/>
      <c r="E58" s="192"/>
      <c r="F58" s="18"/>
      <c r="G58" s="6"/>
      <c r="H58" s="6"/>
    </row>
    <row r="59" spans="1:8" x14ac:dyDescent="0.35">
      <c r="A59" s="23"/>
      <c r="B59" s="192"/>
      <c r="C59" s="192"/>
      <c r="D59" s="192"/>
      <c r="E59" s="192"/>
      <c r="F59" s="18"/>
      <c r="G59" s="6"/>
      <c r="H59" s="6"/>
    </row>
    <row r="60" spans="1:8" ht="15" thickBot="1" x14ac:dyDescent="0.4">
      <c r="A60" s="24"/>
      <c r="B60" s="193"/>
      <c r="C60" s="193"/>
      <c r="D60" s="193"/>
      <c r="E60" s="193"/>
      <c r="F60" s="19"/>
      <c r="G60" s="10"/>
      <c r="H60" s="10"/>
    </row>
    <row r="61" spans="1:8" ht="18.75" customHeight="1" thickTop="1" thickBot="1" x14ac:dyDescent="0.4">
      <c r="A61" s="188"/>
      <c r="B61" s="189"/>
      <c r="C61" s="189"/>
      <c r="D61" s="189"/>
      <c r="E61" s="189"/>
      <c r="F61" s="189"/>
      <c r="G61" s="189"/>
      <c r="H61" s="190"/>
    </row>
    <row r="62" spans="1:8" ht="20.25" customHeight="1" thickTop="1" x14ac:dyDescent="0.35">
      <c r="A62" s="191"/>
      <c r="B62" s="191"/>
      <c r="C62" s="191"/>
      <c r="D62" s="191"/>
      <c r="E62" s="191"/>
      <c r="F62" s="191"/>
      <c r="G62" s="191"/>
      <c r="H62" s="191"/>
    </row>
    <row r="63" spans="1:8" x14ac:dyDescent="0.35">
      <c r="A63" s="191"/>
      <c r="B63" s="191"/>
      <c r="C63" s="191"/>
      <c r="D63" s="191"/>
      <c r="E63" s="191"/>
      <c r="F63" s="191"/>
      <c r="G63" s="191"/>
      <c r="H63" s="191"/>
    </row>
  </sheetData>
  <mergeCells count="58">
    <mergeCell ref="B14:E14"/>
    <mergeCell ref="C1:H3"/>
    <mergeCell ref="G5:H5"/>
    <mergeCell ref="A7:C7"/>
    <mergeCell ref="A8:C8"/>
    <mergeCell ref="E8:H8"/>
    <mergeCell ref="A9:C9"/>
    <mergeCell ref="E9:H9"/>
    <mergeCell ref="A10:C10"/>
    <mergeCell ref="E10:H10"/>
    <mergeCell ref="A11:C11"/>
    <mergeCell ref="E11:H11"/>
    <mergeCell ref="B13:E13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A42:C42"/>
    <mergeCell ref="E42:H42"/>
    <mergeCell ref="B27:E27"/>
    <mergeCell ref="B28:E28"/>
    <mergeCell ref="A29:H29"/>
    <mergeCell ref="A30:H31"/>
    <mergeCell ref="C33:H35"/>
    <mergeCell ref="G37:H37"/>
    <mergeCell ref="A39:C39"/>
    <mergeCell ref="A40:C40"/>
    <mergeCell ref="E40:H40"/>
    <mergeCell ref="A41:C41"/>
    <mergeCell ref="E41:H41"/>
    <mergeCell ref="B54:E54"/>
    <mergeCell ref="A43:C43"/>
    <mergeCell ref="E43:H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A61:H61"/>
    <mergeCell ref="A62:H63"/>
    <mergeCell ref="B55:E55"/>
    <mergeCell ref="B56:E56"/>
    <mergeCell ref="B57:E57"/>
    <mergeCell ref="B58:E58"/>
    <mergeCell ref="B59:E59"/>
    <mergeCell ref="B60:E60"/>
  </mergeCells>
  <pageMargins left="0.7" right="0.7" top="0.75" bottom="0.75" header="0.3" footer="0.3"/>
  <pageSetup scale="75" orientation="portrait" r:id="rId1"/>
  <colBreaks count="1" manualBreakCount="1">
    <brk id="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C650-3A30-4294-9316-1C51F0934485}">
  <dimension ref="A1:H63"/>
  <sheetViews>
    <sheetView zoomScaleNormal="100" workbookViewId="0">
      <selection activeCell="B14" sqref="B14:E14"/>
    </sheetView>
  </sheetViews>
  <sheetFormatPr defaultColWidth="10.90625" defaultRowHeight="14.5" x14ac:dyDescent="0.35"/>
  <cols>
    <col min="1" max="1" width="20" customWidth="1"/>
    <col min="2" max="2" width="11.453125" customWidth="1"/>
    <col min="3" max="3" width="16.7265625" customWidth="1"/>
    <col min="4" max="4" width="17.81640625" customWidth="1"/>
    <col min="5" max="5" width="14.7265625" customWidth="1"/>
    <col min="6" max="6" width="5.54296875" customWidth="1"/>
    <col min="7" max="8" width="11.81640625" customWidth="1"/>
  </cols>
  <sheetData>
    <row r="1" spans="1:8" ht="10.5" customHeight="1" x14ac:dyDescent="0.35">
      <c r="C1" s="199" t="s">
        <v>6</v>
      </c>
      <c r="D1" s="199"/>
      <c r="E1" s="199"/>
      <c r="F1" s="199"/>
      <c r="G1" s="199"/>
      <c r="H1" s="199"/>
    </row>
    <row r="2" spans="1:8" ht="7.5" customHeight="1" x14ac:dyDescent="0.35">
      <c r="C2" s="199"/>
      <c r="D2" s="199"/>
      <c r="E2" s="199"/>
      <c r="F2" s="199"/>
      <c r="G2" s="199"/>
      <c r="H2" s="199"/>
    </row>
    <row r="3" spans="1:8" x14ac:dyDescent="0.35">
      <c r="C3" s="199"/>
      <c r="D3" s="199"/>
      <c r="E3" s="199"/>
      <c r="F3" s="199"/>
      <c r="G3" s="199"/>
      <c r="H3" s="199"/>
    </row>
    <row r="4" spans="1:8" ht="6" customHeight="1" x14ac:dyDescent="0.35"/>
    <row r="5" spans="1:8" s="1" customFormat="1" ht="28.5" customHeight="1" x14ac:dyDescent="0.35">
      <c r="C5" s="13" t="s">
        <v>9</v>
      </c>
      <c r="D5" s="3"/>
      <c r="E5" s="13" t="s">
        <v>10</v>
      </c>
      <c r="F5" s="16"/>
      <c r="G5" s="202">
        <v>81873</v>
      </c>
      <c r="H5" s="203"/>
    </row>
    <row r="6" spans="1:8" ht="7.5" customHeight="1" x14ac:dyDescent="0.35"/>
    <row r="7" spans="1:8" x14ac:dyDescent="0.35">
      <c r="A7" s="194" t="s">
        <v>1</v>
      </c>
      <c r="B7" s="195"/>
      <c r="C7" s="195"/>
      <c r="D7" s="4"/>
      <c r="E7" s="4"/>
      <c r="F7" s="4"/>
      <c r="G7" s="4"/>
      <c r="H7" s="5"/>
    </row>
    <row r="8" spans="1:8" x14ac:dyDescent="0.35">
      <c r="A8" s="194" t="s">
        <v>3</v>
      </c>
      <c r="B8" s="195"/>
      <c r="C8" s="195"/>
      <c r="D8" s="4"/>
      <c r="E8" s="4"/>
      <c r="F8" s="4"/>
      <c r="G8" s="4"/>
      <c r="H8" s="5"/>
    </row>
    <row r="9" spans="1:8" x14ac:dyDescent="0.35">
      <c r="A9" s="194" t="s">
        <v>2</v>
      </c>
      <c r="B9" s="195"/>
      <c r="C9" s="195"/>
      <c r="D9" s="4"/>
      <c r="E9" s="4"/>
      <c r="F9" s="4"/>
      <c r="G9" s="4"/>
      <c r="H9" s="5"/>
    </row>
    <row r="10" spans="1:8" x14ac:dyDescent="0.35">
      <c r="A10" s="194" t="s">
        <v>0</v>
      </c>
      <c r="B10" s="195"/>
      <c r="C10" s="195"/>
      <c r="D10" s="4"/>
      <c r="E10" s="4"/>
      <c r="F10" s="4"/>
      <c r="G10" s="4"/>
      <c r="H10" s="5"/>
    </row>
    <row r="11" spans="1:8" x14ac:dyDescent="0.35">
      <c r="A11" s="14"/>
      <c r="B11" s="15"/>
      <c r="C11" s="4"/>
      <c r="D11" s="4"/>
      <c r="E11" s="4"/>
      <c r="F11" s="4"/>
      <c r="G11" s="4"/>
      <c r="H11" s="5"/>
    </row>
    <row r="12" spans="1:8" ht="5.25" customHeight="1" thickBot="1" x14ac:dyDescent="0.4"/>
    <row r="13" spans="1:8" ht="27" thickTop="1" thickBot="1" x14ac:dyDescent="0.4">
      <c r="A13" s="11" t="s">
        <v>4</v>
      </c>
      <c r="B13" s="197" t="s">
        <v>5</v>
      </c>
      <c r="C13" s="197"/>
      <c r="D13" s="197"/>
      <c r="E13" s="197"/>
      <c r="F13" s="11" t="s">
        <v>11</v>
      </c>
      <c r="G13" s="12" t="s">
        <v>8</v>
      </c>
      <c r="H13" s="12" t="s">
        <v>7</v>
      </c>
    </row>
    <row r="14" spans="1:8" ht="15" thickTop="1" x14ac:dyDescent="0.35">
      <c r="A14" s="8"/>
      <c r="B14" s="198"/>
      <c r="C14" s="198"/>
      <c r="D14" s="198"/>
      <c r="E14" s="198"/>
      <c r="F14" s="9"/>
      <c r="G14" s="9"/>
      <c r="H14" s="8"/>
    </row>
    <row r="15" spans="1:8" x14ac:dyDescent="0.35">
      <c r="A15" s="6"/>
      <c r="B15" s="192"/>
      <c r="C15" s="192"/>
      <c r="D15" s="192"/>
      <c r="E15" s="192"/>
      <c r="F15" s="7"/>
      <c r="G15" s="6"/>
      <c r="H15" s="6"/>
    </row>
    <row r="16" spans="1:8" x14ac:dyDescent="0.35">
      <c r="A16" s="6"/>
      <c r="B16" s="192"/>
      <c r="C16" s="192"/>
      <c r="D16" s="192"/>
      <c r="E16" s="192"/>
      <c r="F16" s="7"/>
      <c r="G16" s="6"/>
      <c r="H16" s="6"/>
    </row>
    <row r="17" spans="1:8" x14ac:dyDescent="0.35">
      <c r="A17" s="6"/>
      <c r="B17" s="192"/>
      <c r="C17" s="192"/>
      <c r="D17" s="192"/>
      <c r="E17" s="192"/>
      <c r="F17" s="7"/>
      <c r="G17" s="6"/>
      <c r="H17" s="6"/>
    </row>
    <row r="18" spans="1:8" x14ac:dyDescent="0.35">
      <c r="A18" s="6"/>
      <c r="B18" s="192"/>
      <c r="C18" s="192"/>
      <c r="D18" s="192"/>
      <c r="E18" s="192"/>
      <c r="F18" s="7"/>
      <c r="G18" s="6"/>
      <c r="H18" s="6"/>
    </row>
    <row r="19" spans="1:8" x14ac:dyDescent="0.35">
      <c r="A19" s="6"/>
      <c r="B19" s="192"/>
      <c r="C19" s="192"/>
      <c r="D19" s="192"/>
      <c r="E19" s="192"/>
      <c r="F19" s="7"/>
      <c r="G19" s="6"/>
      <c r="H19" s="6"/>
    </row>
    <row r="20" spans="1:8" x14ac:dyDescent="0.35">
      <c r="A20" s="6"/>
      <c r="B20" s="192"/>
      <c r="C20" s="192"/>
      <c r="D20" s="192"/>
      <c r="E20" s="192"/>
      <c r="F20" s="7"/>
      <c r="G20" s="6"/>
      <c r="H20" s="6"/>
    </row>
    <row r="21" spans="1:8" x14ac:dyDescent="0.35">
      <c r="A21" s="6"/>
      <c r="B21" s="192"/>
      <c r="C21" s="192"/>
      <c r="D21" s="192"/>
      <c r="E21" s="192"/>
      <c r="F21" s="7"/>
      <c r="G21" s="6"/>
      <c r="H21" s="6"/>
    </row>
    <row r="22" spans="1:8" x14ac:dyDescent="0.35">
      <c r="A22" s="6"/>
      <c r="B22" s="192"/>
      <c r="C22" s="192"/>
      <c r="D22" s="192"/>
      <c r="E22" s="192"/>
      <c r="F22" s="7"/>
      <c r="G22" s="6"/>
      <c r="H22" s="6"/>
    </row>
    <row r="23" spans="1:8" x14ac:dyDescent="0.35">
      <c r="A23" s="6"/>
      <c r="B23" s="192"/>
      <c r="C23" s="192"/>
      <c r="D23" s="192"/>
      <c r="E23" s="192"/>
      <c r="F23" s="7"/>
      <c r="G23" s="6"/>
      <c r="H23" s="6"/>
    </row>
    <row r="24" spans="1:8" x14ac:dyDescent="0.35">
      <c r="A24" s="6"/>
      <c r="B24" s="192"/>
      <c r="C24" s="192"/>
      <c r="D24" s="192"/>
      <c r="E24" s="192"/>
      <c r="F24" s="7"/>
      <c r="G24" s="6"/>
      <c r="H24" s="6"/>
    </row>
    <row r="25" spans="1:8" x14ac:dyDescent="0.35">
      <c r="A25" s="6"/>
      <c r="B25" s="192"/>
      <c r="C25" s="192"/>
      <c r="D25" s="192"/>
      <c r="E25" s="192"/>
      <c r="F25" s="7"/>
      <c r="G25" s="6"/>
      <c r="H25" s="6"/>
    </row>
    <row r="26" spans="1:8" x14ac:dyDescent="0.35">
      <c r="A26" s="6"/>
      <c r="B26" s="192"/>
      <c r="C26" s="192"/>
      <c r="D26" s="192"/>
      <c r="E26" s="192"/>
      <c r="F26" s="7"/>
      <c r="G26" s="6"/>
      <c r="H26" s="6"/>
    </row>
    <row r="27" spans="1:8" x14ac:dyDescent="0.35">
      <c r="A27" s="6"/>
      <c r="B27" s="192"/>
      <c r="C27" s="192"/>
      <c r="D27" s="192"/>
      <c r="E27" s="192"/>
      <c r="F27" s="7"/>
      <c r="G27" s="6"/>
      <c r="H27" s="6"/>
    </row>
    <row r="28" spans="1:8" ht="15" thickBot="1" x14ac:dyDescent="0.4">
      <c r="A28" s="10"/>
      <c r="B28" s="193"/>
      <c r="C28" s="193"/>
      <c r="D28" s="193"/>
      <c r="E28" s="193"/>
      <c r="F28" s="17"/>
      <c r="G28" s="10"/>
      <c r="H28" s="10"/>
    </row>
    <row r="29" spans="1:8" ht="18.75" customHeight="1" thickTop="1" thickBot="1" x14ac:dyDescent="0.4">
      <c r="A29" s="188"/>
      <c r="B29" s="189"/>
      <c r="C29" s="189"/>
      <c r="D29" s="189"/>
      <c r="E29" s="189"/>
      <c r="F29" s="189"/>
      <c r="G29" s="189"/>
      <c r="H29" s="190"/>
    </row>
    <row r="30" spans="1:8" ht="20.25" customHeight="1" thickTop="1" x14ac:dyDescent="0.35">
      <c r="A30" s="191"/>
      <c r="B30" s="191"/>
      <c r="C30" s="191"/>
      <c r="D30" s="191"/>
      <c r="E30" s="191"/>
      <c r="F30" s="191"/>
      <c r="G30" s="191"/>
      <c r="H30" s="191"/>
    </row>
    <row r="31" spans="1:8" x14ac:dyDescent="0.35">
      <c r="A31" s="191"/>
      <c r="B31" s="191"/>
      <c r="C31" s="191"/>
      <c r="D31" s="191"/>
      <c r="E31" s="191"/>
      <c r="F31" s="191"/>
      <c r="G31" s="191"/>
      <c r="H31" s="191"/>
    </row>
    <row r="32" spans="1:8" ht="6.75" customHeight="1" x14ac:dyDescent="0.35">
      <c r="A32" s="2"/>
      <c r="B32" s="2"/>
      <c r="C32" s="2"/>
      <c r="D32" s="2"/>
      <c r="E32" s="2"/>
      <c r="F32" s="2"/>
      <c r="G32" s="2"/>
      <c r="H32" s="2"/>
    </row>
    <row r="33" spans="1:8" ht="10.5" customHeight="1" x14ac:dyDescent="0.35">
      <c r="C33" s="199" t="s">
        <v>6</v>
      </c>
      <c r="D33" s="199"/>
      <c r="E33" s="199"/>
      <c r="F33" s="199"/>
      <c r="G33" s="199"/>
      <c r="H33" s="199"/>
    </row>
    <row r="34" spans="1:8" ht="7.5" customHeight="1" x14ac:dyDescent="0.35">
      <c r="C34" s="199"/>
      <c r="D34" s="199"/>
      <c r="E34" s="199"/>
      <c r="F34" s="199"/>
      <c r="G34" s="199"/>
      <c r="H34" s="199"/>
    </row>
    <row r="35" spans="1:8" x14ac:dyDescent="0.35">
      <c r="C35" s="199"/>
      <c r="D35" s="199"/>
      <c r="E35" s="199"/>
      <c r="F35" s="199"/>
      <c r="G35" s="199"/>
      <c r="H35" s="199"/>
    </row>
    <row r="36" spans="1:8" ht="6" customHeight="1" x14ac:dyDescent="0.35"/>
    <row r="37" spans="1:8" s="1" customFormat="1" ht="28.5" customHeight="1" x14ac:dyDescent="0.35">
      <c r="C37" s="13" t="s">
        <v>9</v>
      </c>
      <c r="D37" s="3"/>
      <c r="E37" s="13" t="s">
        <v>10</v>
      </c>
      <c r="F37" s="16"/>
      <c r="G37" s="202">
        <v>81873</v>
      </c>
      <c r="H37" s="203"/>
    </row>
    <row r="38" spans="1:8" ht="7.5" customHeight="1" x14ac:dyDescent="0.35"/>
    <row r="39" spans="1:8" x14ac:dyDescent="0.35">
      <c r="A39" s="194" t="s">
        <v>1</v>
      </c>
      <c r="B39" s="195"/>
      <c r="C39" s="195"/>
      <c r="D39" s="4"/>
      <c r="E39" s="4"/>
      <c r="F39" s="4"/>
      <c r="G39" s="4"/>
      <c r="H39" s="5"/>
    </row>
    <row r="40" spans="1:8" x14ac:dyDescent="0.35">
      <c r="A40" s="194" t="s">
        <v>3</v>
      </c>
      <c r="B40" s="195"/>
      <c r="C40" s="195"/>
      <c r="D40" s="4"/>
      <c r="E40" s="4"/>
      <c r="F40" s="4"/>
      <c r="G40" s="4"/>
      <c r="H40" s="5"/>
    </row>
    <row r="41" spans="1:8" x14ac:dyDescent="0.35">
      <c r="A41" s="194" t="s">
        <v>2</v>
      </c>
      <c r="B41" s="195"/>
      <c r="C41" s="195"/>
      <c r="D41" s="4"/>
      <c r="E41" s="4"/>
      <c r="F41" s="4"/>
      <c r="G41" s="4"/>
      <c r="H41" s="5"/>
    </row>
    <row r="42" spans="1:8" x14ac:dyDescent="0.35">
      <c r="A42" s="194" t="s">
        <v>0</v>
      </c>
      <c r="B42" s="195"/>
      <c r="C42" s="195"/>
      <c r="D42" s="4"/>
      <c r="E42" s="4"/>
      <c r="F42" s="4"/>
      <c r="G42" s="4"/>
      <c r="H42" s="5"/>
    </row>
    <row r="43" spans="1:8" x14ac:dyDescent="0.35">
      <c r="A43" s="14"/>
      <c r="B43" s="15"/>
      <c r="C43" s="4"/>
      <c r="D43" s="4"/>
      <c r="E43" s="4"/>
      <c r="F43" s="4"/>
      <c r="G43" s="4"/>
      <c r="H43" s="5"/>
    </row>
    <row r="44" spans="1:8" ht="5.25" customHeight="1" thickBot="1" x14ac:dyDescent="0.4"/>
    <row r="45" spans="1:8" ht="27" thickTop="1" thickBot="1" x14ac:dyDescent="0.4">
      <c r="A45" s="11" t="s">
        <v>4</v>
      </c>
      <c r="B45" s="197" t="s">
        <v>5</v>
      </c>
      <c r="C45" s="197"/>
      <c r="D45" s="197"/>
      <c r="E45" s="197"/>
      <c r="F45" s="11" t="s">
        <v>11</v>
      </c>
      <c r="G45" s="12" t="s">
        <v>8</v>
      </c>
      <c r="H45" s="12" t="s">
        <v>7</v>
      </c>
    </row>
    <row r="46" spans="1:8" ht="15" thickTop="1" x14ac:dyDescent="0.35">
      <c r="A46" s="8"/>
      <c r="B46" s="198"/>
      <c r="C46" s="198"/>
      <c r="D46" s="198"/>
      <c r="E46" s="198"/>
      <c r="F46" s="9"/>
      <c r="G46" s="9"/>
      <c r="H46" s="8"/>
    </row>
    <row r="47" spans="1:8" x14ac:dyDescent="0.35">
      <c r="A47" s="6"/>
      <c r="B47" s="192"/>
      <c r="C47" s="192"/>
      <c r="D47" s="192"/>
      <c r="E47" s="192"/>
      <c r="F47" s="7"/>
      <c r="G47" s="6"/>
      <c r="H47" s="6"/>
    </row>
    <row r="48" spans="1:8" x14ac:dyDescent="0.35">
      <c r="A48" s="6"/>
      <c r="B48" s="192"/>
      <c r="C48" s="192"/>
      <c r="D48" s="192"/>
      <c r="E48" s="192"/>
      <c r="F48" s="7"/>
      <c r="G48" s="6"/>
      <c r="H48" s="6"/>
    </row>
    <row r="49" spans="1:8" x14ac:dyDescent="0.35">
      <c r="A49" s="6"/>
      <c r="B49" s="192"/>
      <c r="C49" s="192"/>
      <c r="D49" s="192"/>
      <c r="E49" s="192"/>
      <c r="F49" s="7"/>
      <c r="G49" s="6"/>
      <c r="H49" s="6"/>
    </row>
    <row r="50" spans="1:8" x14ac:dyDescent="0.35">
      <c r="A50" s="6"/>
      <c r="B50" s="192"/>
      <c r="C50" s="192"/>
      <c r="D50" s="192"/>
      <c r="E50" s="192"/>
      <c r="F50" s="7"/>
      <c r="G50" s="6"/>
      <c r="H50" s="6"/>
    </row>
    <row r="51" spans="1:8" x14ac:dyDescent="0.35">
      <c r="A51" s="6"/>
      <c r="B51" s="192"/>
      <c r="C51" s="192"/>
      <c r="D51" s="192"/>
      <c r="E51" s="192"/>
      <c r="F51" s="7"/>
      <c r="G51" s="6"/>
      <c r="H51" s="6"/>
    </row>
    <row r="52" spans="1:8" x14ac:dyDescent="0.35">
      <c r="A52" s="6"/>
      <c r="B52" s="192"/>
      <c r="C52" s="192"/>
      <c r="D52" s="192"/>
      <c r="E52" s="192"/>
      <c r="F52" s="7"/>
      <c r="G52" s="6"/>
      <c r="H52" s="6"/>
    </row>
    <row r="53" spans="1:8" x14ac:dyDescent="0.35">
      <c r="A53" s="6"/>
      <c r="B53" s="192"/>
      <c r="C53" s="192"/>
      <c r="D53" s="192"/>
      <c r="E53" s="192"/>
      <c r="F53" s="7"/>
      <c r="G53" s="6"/>
      <c r="H53" s="6"/>
    </row>
    <row r="54" spans="1:8" x14ac:dyDescent="0.35">
      <c r="A54" s="6"/>
      <c r="B54" s="192"/>
      <c r="C54" s="192"/>
      <c r="D54" s="192"/>
      <c r="E54" s="192"/>
      <c r="F54" s="7"/>
      <c r="G54" s="6"/>
      <c r="H54" s="6"/>
    </row>
    <row r="55" spans="1:8" x14ac:dyDescent="0.35">
      <c r="A55" s="6"/>
      <c r="B55" s="192"/>
      <c r="C55" s="192"/>
      <c r="D55" s="192"/>
      <c r="E55" s="192"/>
      <c r="F55" s="7"/>
      <c r="G55" s="6"/>
      <c r="H55" s="6"/>
    </row>
    <row r="56" spans="1:8" x14ac:dyDescent="0.35">
      <c r="A56" s="6"/>
      <c r="B56" s="192"/>
      <c r="C56" s="192"/>
      <c r="D56" s="192"/>
      <c r="E56" s="192"/>
      <c r="F56" s="7"/>
      <c r="G56" s="6"/>
      <c r="H56" s="6"/>
    </row>
    <row r="57" spans="1:8" x14ac:dyDescent="0.35">
      <c r="A57" s="6"/>
      <c r="B57" s="192"/>
      <c r="C57" s="192"/>
      <c r="D57" s="192"/>
      <c r="E57" s="192"/>
      <c r="F57" s="7"/>
      <c r="G57" s="6"/>
      <c r="H57" s="6"/>
    </row>
    <row r="58" spans="1:8" x14ac:dyDescent="0.35">
      <c r="A58" s="6"/>
      <c r="B58" s="192"/>
      <c r="C58" s="192"/>
      <c r="D58" s="192"/>
      <c r="E58" s="192"/>
      <c r="F58" s="7"/>
      <c r="G58" s="6"/>
      <c r="H58" s="6"/>
    </row>
    <row r="59" spans="1:8" x14ac:dyDescent="0.35">
      <c r="A59" s="6"/>
      <c r="B59" s="192"/>
      <c r="C59" s="192"/>
      <c r="D59" s="192"/>
      <c r="E59" s="192"/>
      <c r="F59" s="7"/>
      <c r="G59" s="6"/>
      <c r="H59" s="6"/>
    </row>
    <row r="60" spans="1:8" ht="15" thickBot="1" x14ac:dyDescent="0.4">
      <c r="A60" s="10"/>
      <c r="B60" s="193"/>
      <c r="C60" s="193"/>
      <c r="D60" s="193"/>
      <c r="E60" s="193"/>
      <c r="F60" s="17"/>
      <c r="G60" s="10"/>
      <c r="H60" s="10"/>
    </row>
    <row r="61" spans="1:8" ht="18.75" customHeight="1" thickTop="1" thickBot="1" x14ac:dyDescent="0.4">
      <c r="A61" s="188"/>
      <c r="B61" s="189"/>
      <c r="C61" s="189"/>
      <c r="D61" s="189"/>
      <c r="E61" s="189"/>
      <c r="F61" s="189"/>
      <c r="G61" s="189"/>
      <c r="H61" s="190"/>
    </row>
    <row r="62" spans="1:8" ht="20.25" customHeight="1" thickTop="1" x14ac:dyDescent="0.35">
      <c r="A62" s="191"/>
      <c r="B62" s="191"/>
      <c r="C62" s="191"/>
      <c r="D62" s="191"/>
      <c r="E62" s="191"/>
      <c r="F62" s="191"/>
      <c r="G62" s="191"/>
      <c r="H62" s="191"/>
    </row>
    <row r="63" spans="1:8" x14ac:dyDescent="0.35">
      <c r="A63" s="191"/>
      <c r="B63" s="191"/>
      <c r="C63" s="191"/>
      <c r="D63" s="191"/>
      <c r="E63" s="191"/>
      <c r="F63" s="191"/>
      <c r="G63" s="191"/>
      <c r="H63" s="191"/>
    </row>
  </sheetData>
  <mergeCells count="48">
    <mergeCell ref="B18:E18"/>
    <mergeCell ref="C1:H3"/>
    <mergeCell ref="G5:H5"/>
    <mergeCell ref="A7:C7"/>
    <mergeCell ref="A8:C8"/>
    <mergeCell ref="A9:C9"/>
    <mergeCell ref="A10:C10"/>
    <mergeCell ref="B13:E13"/>
    <mergeCell ref="B14:E14"/>
    <mergeCell ref="B15:E15"/>
    <mergeCell ref="B16:E16"/>
    <mergeCell ref="B17:E17"/>
    <mergeCell ref="A30:H31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A29:H29"/>
    <mergeCell ref="B50:E50"/>
    <mergeCell ref="C33:H35"/>
    <mergeCell ref="G37:H37"/>
    <mergeCell ref="A39:C39"/>
    <mergeCell ref="A40:C40"/>
    <mergeCell ref="A41:C41"/>
    <mergeCell ref="A42:C42"/>
    <mergeCell ref="B45:E45"/>
    <mergeCell ref="B46:E46"/>
    <mergeCell ref="B47:E47"/>
    <mergeCell ref="B48:E48"/>
    <mergeCell ref="B49:E49"/>
    <mergeCell ref="A62:H63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A61:H61"/>
  </mergeCells>
  <pageMargins left="0.7" right="0.7" top="0.75" bottom="0.75" header="0.3" footer="0.3"/>
  <pageSetup scale="82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BASE</vt:lpstr>
      <vt:lpstr>BASE PROT</vt:lpstr>
      <vt:lpstr>EMPLEADOS</vt:lpstr>
      <vt:lpstr>BASE 1V</vt:lpstr>
      <vt:lpstr>BORRADOR 1</vt:lpstr>
      <vt:lpstr>'BASE 1V'!Print_Area</vt:lpstr>
      <vt:lpstr>'BASE PROT'!Print_Area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Gonzalez</dc:creator>
  <cp:lastModifiedBy>Frida Sofia Arroyo Valle</cp:lastModifiedBy>
  <cp:lastPrinted>2026-06-04T22:30:23Z</cp:lastPrinted>
  <dcterms:created xsi:type="dcterms:W3CDTF">2024-10-11T23:26:36Z</dcterms:created>
  <dcterms:modified xsi:type="dcterms:W3CDTF">2026-09-21T18:12:43Z</dcterms:modified>
</cp:coreProperties>
</file>